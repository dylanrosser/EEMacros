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ylan.rosser\Desktop\References\VBA Macro's\"/>
    </mc:Choice>
  </mc:AlternateContent>
  <bookViews>
    <workbookView xWindow="0" yWindow="0" windowWidth="28800" windowHeight="12435"/>
  </bookViews>
  <sheets>
    <sheet name="Master Sheet" sheetId="1" r:id="rId1"/>
    <sheet name="Voltage Drop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2" l="1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3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3" i="2"/>
  <c r="G35" i="1" l="1"/>
  <c r="K35" i="1"/>
  <c r="J36" i="1"/>
  <c r="J44" i="1"/>
  <c r="J37" i="1"/>
  <c r="J45" i="1"/>
  <c r="J38" i="1"/>
  <c r="J46" i="1"/>
  <c r="J39" i="1"/>
  <c r="J47" i="1"/>
  <c r="J40" i="1"/>
  <c r="J48" i="1"/>
  <c r="J41" i="1"/>
  <c r="J49" i="1"/>
  <c r="J42" i="1"/>
  <c r="J43" i="1"/>
  <c r="J35" i="1"/>
  <c r="J24" i="1"/>
  <c r="U2" i="1" l="1"/>
  <c r="R2" i="1"/>
  <c r="T2" i="1" s="1"/>
  <c r="BB12" i="2"/>
  <c r="J17" i="2"/>
  <c r="AF13" i="2"/>
  <c r="J4" i="2"/>
  <c r="AQ6" i="2"/>
  <c r="AF6" i="2"/>
  <c r="AQ12" i="2"/>
  <c r="AF18" i="2"/>
  <c r="AQ3" i="2"/>
  <c r="BB13" i="2"/>
  <c r="U4" i="2"/>
  <c r="U18" i="2"/>
  <c r="J15" i="2"/>
  <c r="J11" i="2"/>
  <c r="U13" i="2"/>
  <c r="AQ10" i="2"/>
  <c r="AQ8" i="2"/>
  <c r="BB2" i="2"/>
  <c r="U17" i="2"/>
  <c r="BB17" i="2"/>
  <c r="BB3" i="2"/>
  <c r="AQ4" i="2"/>
  <c r="J16" i="2"/>
  <c r="J2" i="2"/>
  <c r="AF12" i="2"/>
  <c r="AF8" i="2"/>
  <c r="BB18" i="2"/>
  <c r="AF4" i="2"/>
  <c r="BB14" i="2"/>
  <c r="U3" i="2"/>
  <c r="BB10" i="2"/>
  <c r="BB16" i="2"/>
  <c r="U5" i="2"/>
  <c r="AQ2" i="2"/>
  <c r="AF5" i="2"/>
  <c r="U10" i="2"/>
  <c r="BB15" i="2"/>
  <c r="J13" i="2"/>
  <c r="U15" i="2"/>
  <c r="AQ18" i="2"/>
  <c r="AF14" i="2"/>
  <c r="U8" i="2"/>
  <c r="AF3" i="2"/>
  <c r="AF15" i="2"/>
  <c r="AQ13" i="2"/>
  <c r="BB5" i="2"/>
  <c r="J18" i="2"/>
  <c r="AQ17" i="2"/>
  <c r="J7" i="2"/>
  <c r="AF2" i="2"/>
  <c r="AF7" i="2"/>
  <c r="U16" i="2"/>
  <c r="AF11" i="2"/>
  <c r="J6" i="2"/>
  <c r="U9" i="2"/>
  <c r="J12" i="2"/>
  <c r="AQ19" i="2"/>
  <c r="U6" i="2"/>
  <c r="AF10" i="2"/>
  <c r="AQ16" i="2"/>
  <c r="J3" i="2"/>
  <c r="BB19" i="2"/>
  <c r="BB9" i="2"/>
  <c r="J19" i="2"/>
  <c r="AF9" i="2"/>
  <c r="BB11" i="2"/>
  <c r="J9" i="2"/>
  <c r="AQ11" i="2"/>
  <c r="AF17" i="2"/>
  <c r="BB4" i="2"/>
  <c r="BB6" i="2"/>
  <c r="AQ14" i="2"/>
  <c r="U19" i="2"/>
  <c r="AQ15" i="2"/>
  <c r="U12" i="2"/>
  <c r="AQ9" i="2"/>
  <c r="AF19" i="2"/>
  <c r="J5" i="2"/>
  <c r="AF16" i="2"/>
  <c r="AQ7" i="2"/>
  <c r="U14" i="2"/>
  <c r="J10" i="2"/>
  <c r="J14" i="2"/>
  <c r="J8" i="2"/>
  <c r="U7" i="2"/>
  <c r="U11" i="2"/>
  <c r="U2" i="2"/>
  <c r="AQ5" i="2"/>
  <c r="BB8" i="2"/>
  <c r="BB7" i="2"/>
  <c r="E16" i="1"/>
  <c r="F16" i="1" s="1"/>
  <c r="J25" i="1"/>
  <c r="H16" i="1" l="1"/>
  <c r="H20" i="1" s="1"/>
  <c r="H47" i="1"/>
  <c r="H45" i="1"/>
  <c r="H41" i="1"/>
  <c r="H43" i="1"/>
  <c r="H46" i="1"/>
  <c r="H44" i="1"/>
  <c r="H42" i="1"/>
  <c r="H40" i="1"/>
  <c r="F39" i="1"/>
  <c r="G42" i="1"/>
  <c r="F43" i="1"/>
  <c r="G43" i="1"/>
  <c r="F40" i="1"/>
  <c r="G40" i="1"/>
  <c r="E48" i="1"/>
  <c r="G48" i="1" s="1"/>
  <c r="F38" i="1"/>
  <c r="F41" i="1"/>
  <c r="G46" i="1"/>
  <c r="F36" i="1"/>
  <c r="F45" i="1"/>
  <c r="G44" i="1"/>
  <c r="G47" i="1"/>
  <c r="F46" i="1"/>
  <c r="G45" i="1"/>
  <c r="G36" i="1"/>
  <c r="G41" i="1"/>
  <c r="E49" i="1"/>
  <c r="F44" i="1"/>
  <c r="F37" i="1"/>
  <c r="F47" i="1"/>
  <c r="F35" i="1"/>
  <c r="F42" i="1"/>
  <c r="F48" i="1"/>
  <c r="G49" i="1"/>
  <c r="F49" i="1"/>
  <c r="H49" i="1" l="1"/>
  <c r="H48" i="1"/>
  <c r="U23" i="1"/>
  <c r="U3" i="1" l="1"/>
  <c r="AD61" i="1"/>
  <c r="AD45" i="1"/>
  <c r="AD21" i="1"/>
  <c r="AD99" i="1"/>
  <c r="AD92" i="1"/>
  <c r="AD2" i="1"/>
  <c r="AD48" i="1"/>
  <c r="AD41" i="1"/>
  <c r="AD26" i="1"/>
  <c r="AD89" i="1"/>
  <c r="AD51" i="1"/>
  <c r="AD74" i="1"/>
  <c r="AD46" i="1"/>
  <c r="AD53" i="1"/>
  <c r="AD36" i="1"/>
  <c r="AD83" i="1"/>
  <c r="AD20" i="1"/>
  <c r="AD23" i="1"/>
  <c r="AD17" i="1"/>
  <c r="AD6" i="1"/>
  <c r="AD95" i="1"/>
  <c r="AD38" i="1"/>
  <c r="AD91" i="1"/>
  <c r="AD96" i="1"/>
  <c r="AD82" i="1"/>
  <c r="AD18" i="1"/>
  <c r="AD67" i="1"/>
  <c r="AD68" i="1"/>
  <c r="AD19" i="1"/>
  <c r="AD15" i="1"/>
  <c r="AD100" i="1"/>
  <c r="AD31" i="1"/>
  <c r="AD79" i="1"/>
  <c r="AD85" i="1"/>
  <c r="AD54" i="1"/>
  <c r="AD77" i="1"/>
  <c r="AD33" i="1"/>
  <c r="AD32" i="1"/>
  <c r="AD102" i="1"/>
  <c r="AD34" i="1"/>
  <c r="AD12" i="1"/>
  <c r="AD101" i="1"/>
  <c r="AD9" i="1"/>
  <c r="AD63" i="1"/>
  <c r="AD14" i="1"/>
  <c r="AD88" i="1"/>
  <c r="AD60" i="1"/>
  <c r="AD73" i="1"/>
  <c r="AD4" i="1"/>
  <c r="AD80" i="1"/>
  <c r="AD66" i="1"/>
  <c r="AD5" i="1"/>
  <c r="AD16" i="1"/>
  <c r="AD49" i="1"/>
  <c r="AD58" i="1"/>
  <c r="AD40" i="1"/>
  <c r="AD30" i="1"/>
  <c r="AD81" i="1"/>
  <c r="AD1" i="1"/>
  <c r="G38" i="1"/>
  <c r="AD69" i="1"/>
  <c r="AD37" i="1"/>
  <c r="AD87" i="1"/>
  <c r="AD75" i="1"/>
  <c r="AD28" i="1"/>
  <c r="AD86" i="1"/>
  <c r="AD70" i="1"/>
  <c r="AD3" i="1"/>
  <c r="AD94" i="1"/>
  <c r="AD25" i="1"/>
  <c r="AD62" i="1"/>
  <c r="AD93" i="1"/>
  <c r="AD57" i="1"/>
  <c r="AD76" i="1"/>
  <c r="AD27" i="1"/>
  <c r="AD13" i="1"/>
  <c r="AD103" i="1"/>
  <c r="AD43" i="1"/>
  <c r="AD7" i="1"/>
  <c r="AD98" i="1"/>
  <c r="AD71" i="1"/>
  <c r="AD42" i="1"/>
  <c r="AD55" i="1"/>
  <c r="AD44" i="1"/>
  <c r="AD56" i="1"/>
  <c r="AD65" i="1"/>
  <c r="AD72" i="1"/>
  <c r="AD47" i="1"/>
  <c r="AD78" i="1"/>
  <c r="AD90" i="1"/>
  <c r="AD64" i="1"/>
  <c r="AD29" i="1"/>
  <c r="AD97" i="1"/>
  <c r="AD52" i="1"/>
  <c r="AD24" i="1"/>
  <c r="AD59" i="1"/>
  <c r="AD8" i="1"/>
  <c r="AD50" i="1"/>
  <c r="AD39" i="1"/>
  <c r="AD35" i="1"/>
  <c r="AD22" i="1"/>
  <c r="AD84" i="1"/>
  <c r="G39" i="1"/>
  <c r="AD10" i="1"/>
  <c r="G37" i="1"/>
  <c r="AD11" i="1"/>
  <c r="H35" i="1" l="1"/>
  <c r="H37" i="1"/>
  <c r="H36" i="1"/>
  <c r="D66" i="1"/>
  <c r="D67" i="1"/>
  <c r="H38" i="1"/>
  <c r="H39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4" i="1"/>
  <c r="U25" i="1"/>
  <c r="U26" i="1"/>
  <c r="U27" i="1"/>
  <c r="R18" i="1"/>
  <c r="R22" i="1"/>
  <c r="E17" i="1"/>
  <c r="F17" i="1" s="1"/>
  <c r="R9" i="1"/>
  <c r="R16" i="1"/>
  <c r="R7" i="1"/>
  <c r="J29" i="1"/>
  <c r="R26" i="1"/>
  <c r="J30" i="1"/>
  <c r="R8" i="1"/>
  <c r="J27" i="1"/>
  <c r="R24" i="1"/>
  <c r="R15" i="1"/>
  <c r="R17" i="1"/>
  <c r="J28" i="1"/>
  <c r="R14" i="1"/>
  <c r="R19" i="1"/>
  <c r="R10" i="1"/>
  <c r="R5" i="1"/>
  <c r="R12" i="1"/>
  <c r="R23" i="1"/>
  <c r="R3" i="1"/>
  <c r="J31" i="1"/>
  <c r="R6" i="1"/>
  <c r="R25" i="1"/>
  <c r="R11" i="1"/>
  <c r="G16" i="1"/>
  <c r="R21" i="1"/>
  <c r="R27" i="1"/>
  <c r="R20" i="1"/>
  <c r="J26" i="1"/>
  <c r="R4" i="1"/>
  <c r="R13" i="1"/>
  <c r="H17" i="1" l="1"/>
  <c r="T14" i="1"/>
  <c r="T11" i="1"/>
  <c r="T12" i="1"/>
  <c r="T16" i="1"/>
  <c r="T6" i="1"/>
  <c r="T25" i="1"/>
  <c r="T18" i="1"/>
  <c r="T13" i="1"/>
  <c r="T23" i="1"/>
  <c r="T3" i="1"/>
  <c r="T24" i="1"/>
  <c r="T20" i="1"/>
  <c r="T21" i="1"/>
  <c r="T15" i="1"/>
  <c r="T27" i="1"/>
  <c r="G17" i="1"/>
  <c r="T19" i="1"/>
  <c r="T7" i="1"/>
  <c r="T17" i="1"/>
  <c r="T22" i="1"/>
  <c r="T8" i="1"/>
  <c r="T26" i="1"/>
  <c r="T4" i="1"/>
  <c r="T9" i="1"/>
  <c r="T10" i="1"/>
  <c r="T5" i="1"/>
  <c r="V21" i="1"/>
  <c r="V23" i="1"/>
  <c r="V8" i="1"/>
  <c r="V12" i="1"/>
  <c r="V17" i="1"/>
  <c r="V16" i="1"/>
  <c r="V19" i="1"/>
  <c r="V9" i="1"/>
  <c r="V6" i="1"/>
  <c r="V20" i="1"/>
  <c r="V7" i="1"/>
  <c r="V22" i="1"/>
  <c r="V11" i="1"/>
  <c r="V5" i="1"/>
  <c r="V2" i="1"/>
  <c r="V14" i="1"/>
  <c r="V15" i="1"/>
  <c r="V18" i="1"/>
  <c r="V10" i="1"/>
  <c r="V3" i="1"/>
  <c r="V13" i="1"/>
  <c r="V4" i="1"/>
  <c r="H21" i="1" l="1"/>
  <c r="H19" i="1"/>
  <c r="V27" i="1"/>
  <c r="V26" i="1"/>
  <c r="V25" i="1"/>
  <c r="V24" i="1"/>
</calcChain>
</file>

<file path=xl/sharedStrings.xml><?xml version="1.0" encoding="utf-8"?>
<sst xmlns="http://schemas.openxmlformats.org/spreadsheetml/2006/main" count="311" uniqueCount="63">
  <si>
    <t>=FLA(HP, Voltage, Phase)</t>
  </si>
  <si>
    <t>HORSEPOWER</t>
  </si>
  <si>
    <t>VOLTAGE</t>
  </si>
  <si>
    <t>PHASE</t>
  </si>
  <si>
    <t>FLA</t>
  </si>
  <si>
    <t>WIRESIZE</t>
  </si>
  <si>
    <t>KW</t>
  </si>
  <si>
    <t>1-Pole</t>
  </si>
  <si>
    <t>2-Pole</t>
  </si>
  <si>
    <t>3-Pole</t>
  </si>
  <si>
    <t>Wire Size</t>
  </si>
  <si>
    <t>Ampacity</t>
  </si>
  <si>
    <t>1/0</t>
  </si>
  <si>
    <t>2/0</t>
  </si>
  <si>
    <t>3/0</t>
  </si>
  <si>
    <t>4/0</t>
  </si>
  <si>
    <t># Conductors</t>
  </si>
  <si>
    <t>volts</t>
  </si>
  <si>
    <t>phase</t>
  </si>
  <si>
    <t>amps</t>
  </si>
  <si>
    <t>wire</t>
  </si>
  <si>
    <t>length</t>
  </si>
  <si>
    <t>sets</t>
  </si>
  <si>
    <t>pf</t>
  </si>
  <si>
    <t>material</t>
  </si>
  <si>
    <t>vd</t>
  </si>
  <si>
    <t>3</t>
  </si>
  <si>
    <t>1</t>
  </si>
  <si>
    <t>Cu</t>
  </si>
  <si>
    <t>4</t>
  </si>
  <si>
    <t>600</t>
  </si>
  <si>
    <t>2</t>
  </si>
  <si>
    <t>OCPD</t>
  </si>
  <si>
    <t>=OCPD(Amps, ScaleFactor) Default ScaleFactor is 1.25</t>
  </si>
  <si>
    <t>CSE2</t>
  </si>
  <si>
    <t>SE2</t>
  </si>
  <si>
    <t>CPE1</t>
  </si>
  <si>
    <t>CPE2</t>
  </si>
  <si>
    <t>CSE1</t>
  </si>
  <si>
    <t>PE5</t>
  </si>
  <si>
    <t>PE6</t>
  </si>
  <si>
    <t>PE7</t>
  </si>
  <si>
    <t>PE1</t>
  </si>
  <si>
    <t>PE2</t>
  </si>
  <si>
    <t>PE3</t>
  </si>
  <si>
    <t>PE4</t>
  </si>
  <si>
    <t>SE1</t>
  </si>
  <si>
    <t>500</t>
  </si>
  <si>
    <t>250</t>
  </si>
  <si>
    <t>12</t>
  </si>
  <si>
    <t>=GROUNDSIZE(OCPD,Material)</t>
  </si>
  <si>
    <t>=CONDUIT(Num,WireSize), where n is the number of conductors</t>
  </si>
  <si>
    <t>=FIREPUMP(GPM,PSI) Returns an estimated horsepower</t>
  </si>
  <si>
    <t>=DEMAND(DwellingUnits) Returns NEC Demand Factor from table 220.84</t>
  </si>
  <si>
    <t>=WIRESIZE(Amps, ScaleFactor) Default ScaleFactor is 1.25</t>
  </si>
  <si>
    <t>=AMPACITY(WireSize), use quotes for "1/0" "2/0" "3/0" "4/0" or format as text</t>
  </si>
  <si>
    <t xml:space="preserve">=VOLTAGEDROP(Voltage,Phase,Current,PF,NumSets,WIRESIZE,Length,Material) Material = "Cu" or "Al" or can be left blank for copper or set = 1 for aluminum. Returns the voltage drop from transmission of electrical current in % </t>
  </si>
  <si>
    <t>grounding electrode</t>
  </si>
  <si>
    <t>fix conduit function so that you can put multiple different wiresizes as input parameter, diff materials</t>
  </si>
  <si>
    <t>Conduit</t>
  </si>
  <si>
    <t>Groundsize</t>
  </si>
  <si>
    <t>750</t>
  </si>
  <si>
    <t>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</si>
</sst>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quotePrefix="1"/>
    <xf numFmtId="16" fontId="0" fillId="0" borderId="0" xfId="0" applyNumberFormat="1"/>
    <xf numFmtId="0" fontId="0" fillId="0" borderId="1" xfId="0" applyBorder="1"/>
    <xf numFmtId="0" fontId="0" fillId="0" borderId="2" xfId="0" quotePrefix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2" fontId="0" fillId="0" borderId="4" xfId="0" applyNumberFormat="1" applyBorder="1"/>
    <xf numFmtId="0" fontId="0" fillId="0" borderId="3" xfId="0" applyFill="1" applyBorder="1"/>
    <xf numFmtId="17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6" xfId="0" applyNumberFormat="1" applyBorder="1"/>
    <xf numFmtId="165" fontId="0" fillId="0" borderId="5" xfId="0" applyNumberFormat="1" applyBorder="1"/>
    <xf numFmtId="17" fontId="0" fillId="0" borderId="0" xfId="0" quotePrefix="1" applyNumberForma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7" fontId="0" fillId="0" borderId="7" xfId="0" quotePrefix="1" applyNumberFormat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quotePrefix="1" applyBorder="1"/>
    <xf numFmtId="0" fontId="0" fillId="0" borderId="9" xfId="0" applyBorder="1"/>
    <xf numFmtId="2" fontId="0" fillId="0" borderId="9" xfId="0" applyNumberFormat="1" applyBorder="1"/>
    <xf numFmtId="49" fontId="0" fillId="0" borderId="9" xfId="0" quotePrefix="1" applyNumberFormat="1" applyBorder="1"/>
    <xf numFmtId="49" fontId="0" fillId="0" borderId="0" xfId="0" applyNumberFormat="1"/>
    <xf numFmtId="0" fontId="0" fillId="0" borderId="9" xfId="0" applyFill="1" applyBorder="1"/>
    <xf numFmtId="10" fontId="0" fillId="0" borderId="9" xfId="1" applyNumberFormat="1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2" fontId="0" fillId="0" borderId="0" xfId="0" applyNumberFormat="1"/>
    <xf numFmtId="0" fontId="0" fillId="0" borderId="0" xfId="0" applyNumberFormat="1"/>
    <xf numFmtId="165" fontId="0" fillId="0" borderId="0" xfId="0" applyNumberForma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600 MCM votage drop vs power</a:t>
            </a:r>
            <a:r>
              <a:rPr lang="en-US" baseline="0"/>
              <a:t> factor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'Voltage Drops'!$C$25:$C$42</c:f>
              <c:numCache>
                <c:formatCode>General</c:formatCode>
                <c:ptCount val="18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0.55000000000000104</c:v>
                </c:pt>
                <c:pt idx="9">
                  <c:v>0.500000000000001</c:v>
                </c:pt>
                <c:pt idx="10">
                  <c:v>0.45000000000000101</c:v>
                </c:pt>
                <c:pt idx="11">
                  <c:v>0.40000000000000102</c:v>
                </c:pt>
                <c:pt idx="12">
                  <c:v>0.35000000000000098</c:v>
                </c:pt>
                <c:pt idx="13">
                  <c:v>0.30000000000000099</c:v>
                </c:pt>
                <c:pt idx="14">
                  <c:v>0.250000000000001</c:v>
                </c:pt>
                <c:pt idx="15">
                  <c:v>0.20000000000000101</c:v>
                </c:pt>
                <c:pt idx="16">
                  <c:v>0.15000000000000099</c:v>
                </c:pt>
                <c:pt idx="17">
                  <c:v>0.100000000000001</c:v>
                </c:pt>
              </c:numCache>
            </c:numRef>
          </c:xVal>
          <c:yVal>
            <c:numRef>
              <c:f>'Voltage Drops'!$D$25:$D$42</c:f>
              <c:numCache>
                <c:formatCode>0.00%</c:formatCode>
                <c:ptCount val="18"/>
                <c:pt idx="0">
                  <c:v>1.1299999999999999E-2</c:v>
                </c:pt>
                <c:pt idx="1">
                  <c:v>1.41E-2</c:v>
                </c:pt>
                <c:pt idx="2">
                  <c:v>1.6E-2</c:v>
                </c:pt>
                <c:pt idx="3">
                  <c:v>1.78E-2</c:v>
                </c:pt>
                <c:pt idx="4">
                  <c:v>1.9599999999999999E-2</c:v>
                </c:pt>
                <c:pt idx="5">
                  <c:v>2.1600000000000001E-2</c:v>
                </c:pt>
                <c:pt idx="6">
                  <c:v>2.3699999999999999E-2</c:v>
                </c:pt>
                <c:pt idx="7">
                  <c:v>2.5899999999999999E-2</c:v>
                </c:pt>
                <c:pt idx="8">
                  <c:v>2.8500000000000001E-2</c:v>
                </c:pt>
                <c:pt idx="9">
                  <c:v>3.15E-2</c:v>
                </c:pt>
                <c:pt idx="10">
                  <c:v>3.5000000000000003E-2</c:v>
                </c:pt>
                <c:pt idx="11">
                  <c:v>3.9300000000000002E-2</c:v>
                </c:pt>
                <c:pt idx="12">
                  <c:v>4.4699999999999997E-2</c:v>
                </c:pt>
                <c:pt idx="13">
                  <c:v>5.1799999999999999E-2</c:v>
                </c:pt>
                <c:pt idx="14">
                  <c:v>6.1499999999999999E-2</c:v>
                </c:pt>
                <c:pt idx="15">
                  <c:v>7.5999999999999998E-2</c:v>
                </c:pt>
                <c:pt idx="16">
                  <c:v>9.98E-2</c:v>
                </c:pt>
                <c:pt idx="17">
                  <c:v>0.14749999999999999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756288"/>
        <c:axId val="661756680"/>
      </c:scatterChart>
      <c:valAx>
        <c:axId val="66175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756680"/>
        <c:crosses val="autoZero"/>
        <c:crossBetween val="midCat"/>
      </c:valAx>
      <c:valAx>
        <c:axId val="66175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Drop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75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MCM votage drop vs power</a:t>
            </a:r>
            <a:r>
              <a:rPr lang="en-US" baseline="0"/>
              <a:t> factor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'Voltage Drops'!$P$25:$P$42</c:f>
              <c:numCache>
                <c:formatCode>General</c:formatCode>
                <c:ptCount val="18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0.55000000000000104</c:v>
                </c:pt>
                <c:pt idx="9">
                  <c:v>0.500000000000001</c:v>
                </c:pt>
                <c:pt idx="10">
                  <c:v>0.45000000000000101</c:v>
                </c:pt>
                <c:pt idx="11">
                  <c:v>0.40000000000000102</c:v>
                </c:pt>
                <c:pt idx="12">
                  <c:v>0.35000000000000098</c:v>
                </c:pt>
                <c:pt idx="13">
                  <c:v>0.30000000000000099</c:v>
                </c:pt>
                <c:pt idx="14">
                  <c:v>0.250000000000001</c:v>
                </c:pt>
                <c:pt idx="15">
                  <c:v>0.20000000000000101</c:v>
                </c:pt>
                <c:pt idx="16">
                  <c:v>0.15000000000000099</c:v>
                </c:pt>
                <c:pt idx="17">
                  <c:v>0.100000000000001</c:v>
                </c:pt>
              </c:numCache>
            </c:numRef>
          </c:xVal>
          <c:yVal>
            <c:numRef>
              <c:f>'Voltage Drops'!$Q$25:$Q$42</c:f>
              <c:numCache>
                <c:formatCode>0.00%</c:formatCode>
                <c:ptCount val="18"/>
                <c:pt idx="0">
                  <c:v>1.0699999999999999E-2</c:v>
                </c:pt>
                <c:pt idx="1">
                  <c:v>1.3100000000000001E-2</c:v>
                </c:pt>
                <c:pt idx="2">
                  <c:v>1.47E-2</c:v>
                </c:pt>
                <c:pt idx="3">
                  <c:v>1.6299999999999999E-2</c:v>
                </c:pt>
                <c:pt idx="4">
                  <c:v>1.78E-2</c:v>
                </c:pt>
                <c:pt idx="5">
                  <c:v>1.95E-2</c:v>
                </c:pt>
                <c:pt idx="6">
                  <c:v>2.1299999999999999E-2</c:v>
                </c:pt>
                <c:pt idx="7">
                  <c:v>2.3199999999999998E-2</c:v>
                </c:pt>
                <c:pt idx="8">
                  <c:v>2.5499999999999998E-2</c:v>
                </c:pt>
                <c:pt idx="9">
                  <c:v>2.8000000000000001E-2</c:v>
                </c:pt>
                <c:pt idx="10">
                  <c:v>3.1E-2</c:v>
                </c:pt>
                <c:pt idx="11">
                  <c:v>3.4700000000000002E-2</c:v>
                </c:pt>
                <c:pt idx="12">
                  <c:v>3.9399999999999998E-2</c:v>
                </c:pt>
                <c:pt idx="13">
                  <c:v>4.5400000000000003E-2</c:v>
                </c:pt>
                <c:pt idx="14">
                  <c:v>5.3800000000000001E-2</c:v>
                </c:pt>
                <c:pt idx="15">
                  <c:v>6.6100000000000006E-2</c:v>
                </c:pt>
                <c:pt idx="16">
                  <c:v>8.6699999999999999E-2</c:v>
                </c:pt>
                <c:pt idx="17">
                  <c:v>0.12759999999999999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757464"/>
        <c:axId val="723918768"/>
      </c:scatterChart>
      <c:valAx>
        <c:axId val="66175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18768"/>
        <c:crosses val="autoZero"/>
        <c:crossBetween val="midCat"/>
      </c:valAx>
      <c:valAx>
        <c:axId val="72391876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Drop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75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250 MCM votage drop vs power</a:t>
            </a:r>
            <a:r>
              <a:rPr lang="en-US" baseline="0"/>
              <a:t> factor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'Voltage Drops'!$AA$25:$AA$42</c:f>
              <c:numCache>
                <c:formatCode>General</c:formatCode>
                <c:ptCount val="18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0.55000000000000104</c:v>
                </c:pt>
                <c:pt idx="9">
                  <c:v>0.500000000000001</c:v>
                </c:pt>
                <c:pt idx="10">
                  <c:v>0.45000000000000101</c:v>
                </c:pt>
                <c:pt idx="11">
                  <c:v>0.40000000000000102</c:v>
                </c:pt>
                <c:pt idx="12">
                  <c:v>0.35000000000000098</c:v>
                </c:pt>
                <c:pt idx="13">
                  <c:v>0.30000000000000099</c:v>
                </c:pt>
                <c:pt idx="14">
                  <c:v>0.250000000000001</c:v>
                </c:pt>
                <c:pt idx="15">
                  <c:v>0.20000000000000101</c:v>
                </c:pt>
                <c:pt idx="16">
                  <c:v>0.15000000000000099</c:v>
                </c:pt>
                <c:pt idx="17">
                  <c:v>0.100000000000001</c:v>
                </c:pt>
              </c:numCache>
            </c:numRef>
          </c:xVal>
          <c:yVal>
            <c:numRef>
              <c:f>'Voltage Drops'!$AB$25:$AB$42</c:f>
              <c:numCache>
                <c:formatCode>0.00%</c:formatCode>
                <c:ptCount val="18"/>
                <c:pt idx="0">
                  <c:v>1.2699999999999999E-2</c:v>
                </c:pt>
                <c:pt idx="1">
                  <c:v>1.4800000000000001E-2</c:v>
                </c:pt>
                <c:pt idx="2">
                  <c:v>1.6199999999999999E-2</c:v>
                </c:pt>
                <c:pt idx="3">
                  <c:v>1.7399999999999999E-2</c:v>
                </c:pt>
                <c:pt idx="4">
                  <c:v>1.8700000000000001E-2</c:v>
                </c:pt>
                <c:pt idx="5">
                  <c:v>2.01E-2</c:v>
                </c:pt>
                <c:pt idx="6">
                  <c:v>2.1499999999999998E-2</c:v>
                </c:pt>
                <c:pt idx="7">
                  <c:v>2.3099999999999999E-2</c:v>
                </c:pt>
                <c:pt idx="8">
                  <c:v>2.4899999999999999E-2</c:v>
                </c:pt>
                <c:pt idx="9">
                  <c:v>2.7E-2</c:v>
                </c:pt>
                <c:pt idx="10">
                  <c:v>2.9499999999999998E-2</c:v>
                </c:pt>
                <c:pt idx="11">
                  <c:v>3.2500000000000001E-2</c:v>
                </c:pt>
                <c:pt idx="12">
                  <c:v>3.6299999999999999E-2</c:v>
                </c:pt>
                <c:pt idx="13">
                  <c:v>4.1200000000000001E-2</c:v>
                </c:pt>
                <c:pt idx="14">
                  <c:v>4.8099999999999997E-2</c:v>
                </c:pt>
                <c:pt idx="15">
                  <c:v>5.8299999999999998E-2</c:v>
                </c:pt>
                <c:pt idx="16">
                  <c:v>7.5300000000000006E-2</c:v>
                </c:pt>
                <c:pt idx="17">
                  <c:v>0.1094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21120"/>
        <c:axId val="723921512"/>
      </c:scatterChart>
      <c:valAx>
        <c:axId val="72392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1512"/>
        <c:crosses val="autoZero"/>
        <c:crossBetween val="midCat"/>
      </c:valAx>
      <c:valAx>
        <c:axId val="72392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Drop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2/0 AWG votage drop vs power</a:t>
            </a:r>
            <a:r>
              <a:rPr lang="en-US" baseline="0"/>
              <a:t> factor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'Voltage Drops'!$AL$25:$AL$42</c:f>
              <c:numCache>
                <c:formatCode>General</c:formatCode>
                <c:ptCount val="18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0.55000000000000104</c:v>
                </c:pt>
                <c:pt idx="9">
                  <c:v>0.500000000000001</c:v>
                </c:pt>
                <c:pt idx="10">
                  <c:v>0.45000000000000101</c:v>
                </c:pt>
                <c:pt idx="11">
                  <c:v>0.40000000000000102</c:v>
                </c:pt>
                <c:pt idx="12">
                  <c:v>0.35000000000000098</c:v>
                </c:pt>
                <c:pt idx="13">
                  <c:v>0.30000000000000099</c:v>
                </c:pt>
                <c:pt idx="14">
                  <c:v>0.250000000000001</c:v>
                </c:pt>
                <c:pt idx="15">
                  <c:v>0.20000000000000101</c:v>
                </c:pt>
                <c:pt idx="16">
                  <c:v>0.15000000000000099</c:v>
                </c:pt>
                <c:pt idx="17">
                  <c:v>0.100000000000001</c:v>
                </c:pt>
              </c:numCache>
            </c:numRef>
          </c:xVal>
          <c:yVal>
            <c:numRef>
              <c:f>'Voltage Drops'!$AM$25:$AM$42</c:f>
              <c:numCache>
                <c:formatCode>0.00%</c:formatCode>
                <c:ptCount val="18"/>
                <c:pt idx="0">
                  <c:v>9.2999999999999992E-3</c:v>
                </c:pt>
                <c:pt idx="1">
                  <c:v>1.0500000000000001E-2</c:v>
                </c:pt>
                <c:pt idx="2">
                  <c:v>1.11E-2</c:v>
                </c:pt>
                <c:pt idx="3">
                  <c:v>1.17E-2</c:v>
                </c:pt>
                <c:pt idx="4">
                  <c:v>1.23E-2</c:v>
                </c:pt>
                <c:pt idx="5">
                  <c:v>1.29E-2</c:v>
                </c:pt>
                <c:pt idx="6">
                  <c:v>1.3599999999999999E-2</c:v>
                </c:pt>
                <c:pt idx="7">
                  <c:v>1.43E-2</c:v>
                </c:pt>
                <c:pt idx="8">
                  <c:v>1.52E-2</c:v>
                </c:pt>
                <c:pt idx="9">
                  <c:v>1.61E-2</c:v>
                </c:pt>
                <c:pt idx="10">
                  <c:v>1.7299999999999999E-2</c:v>
                </c:pt>
                <c:pt idx="11">
                  <c:v>1.8700000000000001E-2</c:v>
                </c:pt>
                <c:pt idx="12">
                  <c:v>2.0500000000000001E-2</c:v>
                </c:pt>
                <c:pt idx="13">
                  <c:v>2.2800000000000001E-2</c:v>
                </c:pt>
                <c:pt idx="14">
                  <c:v>2.5999999999999999E-2</c:v>
                </c:pt>
                <c:pt idx="15">
                  <c:v>3.0700000000000002E-2</c:v>
                </c:pt>
                <c:pt idx="16">
                  <c:v>3.8699999999999998E-2</c:v>
                </c:pt>
                <c:pt idx="17">
                  <c:v>5.4800000000000001E-2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22296"/>
        <c:axId val="723922688"/>
      </c:scatterChart>
      <c:valAx>
        <c:axId val="723922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2688"/>
        <c:crosses val="autoZero"/>
        <c:crossBetween val="midCat"/>
      </c:valAx>
      <c:valAx>
        <c:axId val="7239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Drop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12AWG votage drop vs power</a:t>
            </a:r>
            <a:r>
              <a:rPr lang="en-US" baseline="0"/>
              <a:t> factor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'Voltage Drops'!$AV$25:$AV$42</c:f>
              <c:numCache>
                <c:formatCode>General</c:formatCode>
                <c:ptCount val="18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  <c:pt idx="3">
                  <c:v>0.8</c:v>
                </c:pt>
                <c:pt idx="4">
                  <c:v>0.75</c:v>
                </c:pt>
                <c:pt idx="5">
                  <c:v>0.7</c:v>
                </c:pt>
                <c:pt idx="6">
                  <c:v>0.65</c:v>
                </c:pt>
                <c:pt idx="7">
                  <c:v>0.6</c:v>
                </c:pt>
                <c:pt idx="8">
                  <c:v>0.55000000000000104</c:v>
                </c:pt>
                <c:pt idx="9">
                  <c:v>0.500000000000001</c:v>
                </c:pt>
                <c:pt idx="10">
                  <c:v>0.45000000000000101</c:v>
                </c:pt>
                <c:pt idx="11">
                  <c:v>0.40000000000000102</c:v>
                </c:pt>
                <c:pt idx="12">
                  <c:v>0.35000000000000098</c:v>
                </c:pt>
                <c:pt idx="13">
                  <c:v>0.30000000000000099</c:v>
                </c:pt>
                <c:pt idx="14">
                  <c:v>0.250000000000001</c:v>
                </c:pt>
                <c:pt idx="15">
                  <c:v>0.20000000000000101</c:v>
                </c:pt>
                <c:pt idx="16">
                  <c:v>0.15000000000000099</c:v>
                </c:pt>
                <c:pt idx="17">
                  <c:v>0.100000000000001</c:v>
                </c:pt>
              </c:numCache>
            </c:numRef>
          </c:xVal>
          <c:yVal>
            <c:numRef>
              <c:f>'Voltage Drops'!$AW$25:$AW$42</c:f>
              <c:numCache>
                <c:formatCode>0.00%</c:formatCode>
                <c:ptCount val="18"/>
                <c:pt idx="0">
                  <c:v>2.5600000000000001E-2</c:v>
                </c:pt>
                <c:pt idx="1">
                  <c:v>2.7099999999999999E-2</c:v>
                </c:pt>
                <c:pt idx="2">
                  <c:v>2.7300000000000001E-2</c:v>
                </c:pt>
                <c:pt idx="3">
                  <c:v>2.7400000000000001E-2</c:v>
                </c:pt>
                <c:pt idx="4">
                  <c:v>2.76E-2</c:v>
                </c:pt>
                <c:pt idx="5">
                  <c:v>2.7799999999999998E-2</c:v>
                </c:pt>
                <c:pt idx="6">
                  <c:v>2.8000000000000001E-2</c:v>
                </c:pt>
                <c:pt idx="7">
                  <c:v>2.8199999999999999E-2</c:v>
                </c:pt>
                <c:pt idx="8">
                  <c:v>2.8500000000000001E-2</c:v>
                </c:pt>
                <c:pt idx="9">
                  <c:v>2.8799999999999999E-2</c:v>
                </c:pt>
                <c:pt idx="10">
                  <c:v>2.92E-2</c:v>
                </c:pt>
                <c:pt idx="11">
                  <c:v>2.98E-2</c:v>
                </c:pt>
                <c:pt idx="12">
                  <c:v>3.0499999999999999E-2</c:v>
                </c:pt>
                <c:pt idx="13">
                  <c:v>3.1600000000000003E-2</c:v>
                </c:pt>
                <c:pt idx="14">
                  <c:v>3.32E-2</c:v>
                </c:pt>
                <c:pt idx="15">
                  <c:v>3.5900000000000001E-2</c:v>
                </c:pt>
                <c:pt idx="16">
                  <c:v>4.1500000000000002E-2</c:v>
                </c:pt>
                <c:pt idx="17">
                  <c:v>5.5899999999999998E-2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20336"/>
        <c:axId val="723919944"/>
      </c:scatterChart>
      <c:valAx>
        <c:axId val="72392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19944"/>
        <c:crosses val="autoZero"/>
        <c:crossBetween val="midCat"/>
      </c:valAx>
      <c:valAx>
        <c:axId val="72391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Drop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42</xdr:row>
      <xdr:rowOff>109537</xdr:rowOff>
    </xdr:from>
    <xdr:to>
      <xdr:col>7</xdr:col>
      <xdr:colOff>419100</xdr:colOff>
      <xdr:row>56</xdr:row>
      <xdr:rowOff>185737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42</xdr:row>
      <xdr:rowOff>9525</xdr:rowOff>
    </xdr:from>
    <xdr:to>
      <xdr:col>19</xdr:col>
      <xdr:colOff>400050</xdr:colOff>
      <xdr:row>56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44</xdr:row>
      <xdr:rowOff>0</xdr:rowOff>
    </xdr:from>
    <xdr:to>
      <xdr:col>32</xdr:col>
      <xdr:colOff>304800</xdr:colOff>
      <xdr:row>58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44</xdr:row>
      <xdr:rowOff>0</xdr:rowOff>
    </xdr:from>
    <xdr:to>
      <xdr:col>43</xdr:col>
      <xdr:colOff>304800</xdr:colOff>
      <xdr:row>58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44</xdr:row>
      <xdr:rowOff>0</xdr:rowOff>
    </xdr:from>
    <xdr:to>
      <xdr:col>53</xdr:col>
      <xdr:colOff>304800</xdr:colOff>
      <xdr:row>58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03"/>
  <sheetViews>
    <sheetView tabSelected="1" zoomScale="130" zoomScaleNormal="130" workbookViewId="0">
      <selection activeCell="M32" sqref="M32"/>
    </sheetView>
  </sheetViews>
  <sheetFormatPr defaultRowHeight="15" x14ac:dyDescent="0.25"/>
  <cols>
    <col min="2" max="2" width="13.5703125" bestFit="1" customWidth="1"/>
    <col min="5" max="5" width="22.5703125" customWidth="1"/>
    <col min="8" max="14" width="9.28515625" bestFit="1" customWidth="1"/>
    <col min="15" max="17" width="9.5703125" bestFit="1" customWidth="1"/>
    <col min="21" max="21" width="12.42578125" bestFit="1" customWidth="1"/>
  </cols>
  <sheetData>
    <row r="1" spans="1:30" x14ac:dyDescent="0.25">
      <c r="A1" s="1" t="s">
        <v>0</v>
      </c>
      <c r="J1" s="1"/>
      <c r="Q1" s="18" t="s">
        <v>10</v>
      </c>
      <c r="R1" s="19" t="s">
        <v>11</v>
      </c>
      <c r="T1" s="33" t="s">
        <v>10</v>
      </c>
      <c r="U1" s="36" t="s">
        <v>16</v>
      </c>
      <c r="V1" s="6"/>
      <c r="AC1" s="40">
        <v>1</v>
      </c>
      <c r="AD1" t="str">
        <f>DEMAND(AC1)</f>
        <v>You are only permitted to use this demand calculation for 3 or more dwelling units</v>
      </c>
    </row>
    <row r="2" spans="1:30" x14ac:dyDescent="0.25">
      <c r="A2" s="1" t="s">
        <v>54</v>
      </c>
      <c r="J2" s="1"/>
      <c r="Q2" s="20">
        <v>12</v>
      </c>
      <c r="R2" s="21">
        <f>ampacity(Q2)</f>
        <v>25</v>
      </c>
      <c r="T2" s="34" t="str">
        <f>WireSize(R2,1)</f>
        <v>10</v>
      </c>
      <c r="U2" s="37">
        <f ca="1">RANDBETWEEN(1,8)</f>
        <v>8</v>
      </c>
      <c r="V2" s="14" t="str">
        <f ca="1">conduit(U2,T2)</f>
        <v>3/4"</v>
      </c>
      <c r="AC2" s="40">
        <v>2</v>
      </c>
      <c r="AD2" t="str">
        <f>DEMAND(AC2)</f>
        <v>You are only permitted to use this demand calculation for 3 or more dwelling units</v>
      </c>
    </row>
    <row r="3" spans="1:30" x14ac:dyDescent="0.25">
      <c r="A3" s="1" t="s">
        <v>33</v>
      </c>
      <c r="Q3" s="20">
        <v>10</v>
      </c>
      <c r="R3" s="21">
        <f t="shared" ref="R3:R27" si="0">ampacity(Q3)</f>
        <v>30</v>
      </c>
      <c r="T3" s="34" t="str">
        <f t="shared" ref="T3:T27" si="1">WireSize(R3,1)</f>
        <v>8</v>
      </c>
      <c r="U3" s="37">
        <f ca="1">RANDBETWEEN(1,8)</f>
        <v>1</v>
      </c>
      <c r="V3" s="14" t="str">
        <f t="shared" ref="V3:V27" ca="1" si="2">conduit(U3,T3)</f>
        <v>3/4"</v>
      </c>
      <c r="AC3" s="40">
        <v>3</v>
      </c>
      <c r="AD3">
        <f t="shared" ref="AD3:AD65" si="3">DEMAND(AC3)</f>
        <v>0.45</v>
      </c>
    </row>
    <row r="4" spans="1:30" x14ac:dyDescent="0.25">
      <c r="A4" s="1" t="s">
        <v>55</v>
      </c>
      <c r="Q4" s="20">
        <v>8</v>
      </c>
      <c r="R4" s="21">
        <f t="shared" si="0"/>
        <v>40</v>
      </c>
      <c r="T4" s="34" t="str">
        <f t="shared" si="1"/>
        <v>8</v>
      </c>
      <c r="U4" s="37">
        <f t="shared" ref="U4:U27" ca="1" si="4">RANDBETWEEN(1,8)</f>
        <v>5</v>
      </c>
      <c r="V4" s="14" t="str">
        <f t="shared" ca="1" si="2"/>
        <v>3/4"</v>
      </c>
      <c r="AC4" s="40">
        <v>4</v>
      </c>
      <c r="AD4">
        <f t="shared" si="3"/>
        <v>0.45</v>
      </c>
    </row>
    <row r="5" spans="1:30" x14ac:dyDescent="0.25">
      <c r="A5" s="1" t="s">
        <v>50</v>
      </c>
      <c r="Q5" s="20">
        <v>6</v>
      </c>
      <c r="R5" s="21">
        <f t="shared" si="0"/>
        <v>55</v>
      </c>
      <c r="T5" s="34" t="str">
        <f>WireSize(R5,1)</f>
        <v>6</v>
      </c>
      <c r="U5" s="37">
        <f t="shared" ca="1" si="4"/>
        <v>7</v>
      </c>
      <c r="V5" s="14" t="str">
        <f t="shared" ca="1" si="2"/>
        <v>1"</v>
      </c>
      <c r="AC5" s="40">
        <v>5</v>
      </c>
      <c r="AD5">
        <f t="shared" si="3"/>
        <v>0.45</v>
      </c>
    </row>
    <row r="6" spans="1:30" x14ac:dyDescent="0.25">
      <c r="A6" s="1" t="s">
        <v>51</v>
      </c>
      <c r="Q6" s="20">
        <v>4</v>
      </c>
      <c r="R6" s="21">
        <f t="shared" si="0"/>
        <v>70</v>
      </c>
      <c r="T6" s="34" t="str">
        <f t="shared" si="1"/>
        <v>4</v>
      </c>
      <c r="U6" s="37">
        <f t="shared" ca="1" si="4"/>
        <v>5</v>
      </c>
      <c r="V6" s="14" t="str">
        <f t="shared" ca="1" si="2"/>
        <v>1 1/4"</v>
      </c>
      <c r="AC6" s="40">
        <v>6</v>
      </c>
      <c r="AD6">
        <f t="shared" si="3"/>
        <v>0.44</v>
      </c>
    </row>
    <row r="7" spans="1:30" x14ac:dyDescent="0.25">
      <c r="A7" s="1" t="s">
        <v>56</v>
      </c>
      <c r="Q7" s="20">
        <v>3</v>
      </c>
      <c r="R7" s="21">
        <f t="shared" si="0"/>
        <v>85</v>
      </c>
      <c r="T7" s="34" t="str">
        <f t="shared" si="1"/>
        <v>3</v>
      </c>
      <c r="U7" s="37">
        <f t="shared" ca="1" si="4"/>
        <v>5</v>
      </c>
      <c r="V7" s="14" t="str">
        <f t="shared" ca="1" si="2"/>
        <v>1 1/4"</v>
      </c>
      <c r="AC7" s="39">
        <v>7.45</v>
      </c>
      <c r="AD7" t="str">
        <f>DEMAND(AC7)</f>
        <v>You must enter and integer for the number of dwelling units</v>
      </c>
    </row>
    <row r="8" spans="1:30" x14ac:dyDescent="0.25">
      <c r="A8" s="1" t="s">
        <v>53</v>
      </c>
      <c r="Q8" s="20">
        <v>2</v>
      </c>
      <c r="R8" s="21">
        <f t="shared" si="0"/>
        <v>95</v>
      </c>
      <c r="T8" s="34" t="str">
        <f t="shared" si="1"/>
        <v>2</v>
      </c>
      <c r="U8" s="37">
        <f t="shared" ca="1" si="4"/>
        <v>2</v>
      </c>
      <c r="V8" s="14" t="str">
        <f t="shared" ca="1" si="2"/>
        <v>1"</v>
      </c>
      <c r="AC8" s="40">
        <v>8</v>
      </c>
      <c r="AD8">
        <f t="shared" si="3"/>
        <v>0.43</v>
      </c>
    </row>
    <row r="9" spans="1:30" x14ac:dyDescent="0.25">
      <c r="A9" s="1" t="s">
        <v>52</v>
      </c>
      <c r="Q9" s="20">
        <v>1</v>
      </c>
      <c r="R9" s="21">
        <f t="shared" si="0"/>
        <v>130</v>
      </c>
      <c r="T9" s="34" t="str">
        <f>WireSize(R9,1)</f>
        <v>1</v>
      </c>
      <c r="U9" s="37">
        <f t="shared" ca="1" si="4"/>
        <v>6</v>
      </c>
      <c r="V9" s="14" t="str">
        <f t="shared" ca="1" si="2"/>
        <v>2"</v>
      </c>
      <c r="AC9" s="40">
        <v>9</v>
      </c>
      <c r="AD9">
        <f t="shared" si="3"/>
        <v>0.43</v>
      </c>
    </row>
    <row r="10" spans="1:30" x14ac:dyDescent="0.25">
      <c r="Q10" s="22" t="s">
        <v>12</v>
      </c>
      <c r="R10" s="21">
        <f>ampacity(Q10)</f>
        <v>150</v>
      </c>
      <c r="T10" s="34" t="str">
        <f t="shared" si="1"/>
        <v>1/0</v>
      </c>
      <c r="U10" s="37">
        <f t="shared" ca="1" si="4"/>
        <v>1</v>
      </c>
      <c r="V10" s="14" t="str">
        <f t="shared" ca="1" si="2"/>
        <v>3/4"</v>
      </c>
      <c r="AC10" s="40">
        <v>10</v>
      </c>
      <c r="AD10">
        <f t="shared" si="3"/>
        <v>0.43</v>
      </c>
    </row>
    <row r="11" spans="1:30" x14ac:dyDescent="0.25">
      <c r="Q11" s="23" t="s">
        <v>13</v>
      </c>
      <c r="R11" s="21">
        <f t="shared" si="0"/>
        <v>175</v>
      </c>
      <c r="T11" s="34" t="str">
        <f t="shared" si="1"/>
        <v>2/0</v>
      </c>
      <c r="U11" s="37">
        <f t="shared" ca="1" si="4"/>
        <v>4</v>
      </c>
      <c r="V11" s="14" t="str">
        <f t="shared" ca="1" si="2"/>
        <v>2"</v>
      </c>
      <c r="AC11" s="40">
        <v>11</v>
      </c>
      <c r="AD11">
        <f t="shared" si="3"/>
        <v>0.42</v>
      </c>
    </row>
    <row r="12" spans="1:30" x14ac:dyDescent="0.25">
      <c r="Q12" s="23" t="s">
        <v>14</v>
      </c>
      <c r="R12" s="21">
        <f t="shared" si="0"/>
        <v>200</v>
      </c>
      <c r="T12" s="34" t="str">
        <f t="shared" si="1"/>
        <v>3/0</v>
      </c>
      <c r="U12" s="37">
        <f t="shared" ca="1" si="4"/>
        <v>1</v>
      </c>
      <c r="V12" s="14" t="str">
        <f t="shared" ca="1" si="2"/>
        <v>3/4"</v>
      </c>
      <c r="AC12" s="40">
        <v>12</v>
      </c>
      <c r="AD12">
        <f t="shared" si="3"/>
        <v>0.41</v>
      </c>
    </row>
    <row r="13" spans="1:30" x14ac:dyDescent="0.25">
      <c r="Q13" s="23" t="s">
        <v>15</v>
      </c>
      <c r="R13" s="21">
        <f t="shared" si="0"/>
        <v>230</v>
      </c>
      <c r="T13" s="34" t="str">
        <f t="shared" si="1"/>
        <v>4/0</v>
      </c>
      <c r="U13" s="37">
        <f t="shared" ca="1" si="4"/>
        <v>7</v>
      </c>
      <c r="V13" s="14" t="str">
        <f t="shared" ca="1" si="2"/>
        <v>2 1/2"</v>
      </c>
      <c r="AC13" s="40">
        <v>13</v>
      </c>
      <c r="AD13">
        <f t="shared" si="3"/>
        <v>0.41</v>
      </c>
    </row>
    <row r="14" spans="1:30" ht="15.75" thickBot="1" x14ac:dyDescent="0.3">
      <c r="Q14" s="20">
        <v>250</v>
      </c>
      <c r="R14" s="21">
        <f t="shared" si="0"/>
        <v>255</v>
      </c>
      <c r="T14" s="34" t="str">
        <f t="shared" si="1"/>
        <v>250</v>
      </c>
      <c r="U14" s="37">
        <f t="shared" ca="1" si="4"/>
        <v>1</v>
      </c>
      <c r="V14" s="14" t="str">
        <f t="shared" ca="1" si="2"/>
        <v>1"</v>
      </c>
      <c r="AC14" s="40">
        <v>14</v>
      </c>
      <c r="AD14">
        <f t="shared" si="3"/>
        <v>0.4</v>
      </c>
    </row>
    <row r="15" spans="1:30" x14ac:dyDescent="0.25">
      <c r="B15" s="3" t="s">
        <v>1</v>
      </c>
      <c r="C15" s="4" t="s">
        <v>2</v>
      </c>
      <c r="D15" s="5" t="s">
        <v>3</v>
      </c>
      <c r="E15" s="5" t="s">
        <v>4</v>
      </c>
      <c r="F15" s="5" t="s">
        <v>5</v>
      </c>
      <c r="G15" s="5" t="s">
        <v>32</v>
      </c>
      <c r="H15" s="10" t="s">
        <v>6</v>
      </c>
      <c r="Q15" s="20">
        <v>300</v>
      </c>
      <c r="R15" s="21">
        <f t="shared" si="0"/>
        <v>285</v>
      </c>
      <c r="T15" s="34" t="str">
        <f t="shared" si="1"/>
        <v>300</v>
      </c>
      <c r="U15" s="37">
        <f t="shared" ca="1" si="4"/>
        <v>2</v>
      </c>
      <c r="V15" s="14" t="str">
        <f t="shared" ca="1" si="2"/>
        <v>2"</v>
      </c>
      <c r="AC15" s="40">
        <v>15</v>
      </c>
      <c r="AD15">
        <f t="shared" si="3"/>
        <v>0.4</v>
      </c>
    </row>
    <row r="16" spans="1:30" ht="15.75" thickBot="1" x14ac:dyDescent="0.3">
      <c r="B16" s="9">
        <v>5</v>
      </c>
      <c r="C16" s="8">
        <v>208</v>
      </c>
      <c r="D16" s="8">
        <v>1</v>
      </c>
      <c r="E16" s="16">
        <f>fla(B16,C16,D16)</f>
        <v>30.8</v>
      </c>
      <c r="F16" s="8" t="str">
        <f>WireSize(E16)</f>
        <v>8</v>
      </c>
      <c r="G16" s="11" t="str">
        <f>OCPD(E16)</f>
        <v>40</v>
      </c>
      <c r="H16" s="12">
        <f>C16*E16*SQRT(D16)</f>
        <v>6406.4000000000005</v>
      </c>
      <c r="Q16" s="20">
        <v>350</v>
      </c>
      <c r="R16" s="21">
        <f t="shared" si="0"/>
        <v>310</v>
      </c>
      <c r="T16" s="34" t="str">
        <f t="shared" si="1"/>
        <v>350</v>
      </c>
      <c r="U16" s="37">
        <f t="shared" ca="1" si="4"/>
        <v>8</v>
      </c>
      <c r="V16" s="14" t="str">
        <f t="shared" ca="1" si="2"/>
        <v>3 1/2"</v>
      </c>
      <c r="AC16" s="40">
        <v>16</v>
      </c>
      <c r="AD16">
        <f t="shared" si="3"/>
        <v>0.39</v>
      </c>
    </row>
    <row r="17" spans="2:30" ht="15.75" thickBot="1" x14ac:dyDescent="0.3">
      <c r="B17" s="9">
        <v>25</v>
      </c>
      <c r="C17" s="8">
        <v>460</v>
      </c>
      <c r="D17" s="8">
        <v>3</v>
      </c>
      <c r="E17" s="16">
        <f>fla(B17,C17,D17)</f>
        <v>34</v>
      </c>
      <c r="F17" s="8" t="str">
        <f>WireSize(E17)</f>
        <v>6</v>
      </c>
      <c r="G17" s="11" t="str">
        <f>OCPD(E17)</f>
        <v>45</v>
      </c>
      <c r="H17" s="12">
        <f>C17*E17*SQRT(D17)</f>
        <v>27089.27463037724</v>
      </c>
      <c r="I17" s="2"/>
      <c r="Q17" s="20">
        <v>500</v>
      </c>
      <c r="R17" s="21">
        <f t="shared" si="0"/>
        <v>380</v>
      </c>
      <c r="T17" s="34" t="str">
        <f t="shared" si="1"/>
        <v>500</v>
      </c>
      <c r="U17" s="37">
        <f t="shared" ca="1" si="4"/>
        <v>2</v>
      </c>
      <c r="V17" s="14" t="str">
        <f t="shared" ca="1" si="2"/>
        <v>2 1/2"</v>
      </c>
      <c r="AC17" s="40">
        <v>17</v>
      </c>
      <c r="AD17">
        <f t="shared" si="3"/>
        <v>0.39</v>
      </c>
    </row>
    <row r="18" spans="2:30" ht="15.75" thickBot="1" x14ac:dyDescent="0.3">
      <c r="Q18" s="20">
        <v>600</v>
      </c>
      <c r="R18" s="21">
        <f t="shared" si="0"/>
        <v>420</v>
      </c>
      <c r="T18" s="34" t="str">
        <f t="shared" si="1"/>
        <v>600</v>
      </c>
      <c r="U18" s="37">
        <f t="shared" ca="1" si="4"/>
        <v>2</v>
      </c>
      <c r="V18" s="14" t="str">
        <f t="shared" ca="1" si="2"/>
        <v>2 1/2"</v>
      </c>
      <c r="AC18" s="40">
        <v>18</v>
      </c>
      <c r="AD18">
        <f t="shared" si="3"/>
        <v>0.38</v>
      </c>
    </row>
    <row r="19" spans="2:30" x14ac:dyDescent="0.25">
      <c r="G19" s="3" t="s">
        <v>7</v>
      </c>
      <c r="H19" s="6">
        <f>H16</f>
        <v>6406.4000000000005</v>
      </c>
      <c r="Q19" s="20">
        <v>700</v>
      </c>
      <c r="R19" s="21">
        <f t="shared" si="0"/>
        <v>460</v>
      </c>
      <c r="T19" s="34" t="str">
        <f t="shared" si="1"/>
        <v>700</v>
      </c>
      <c r="U19" s="37">
        <f t="shared" ca="1" si="4"/>
        <v>3</v>
      </c>
      <c r="V19" s="14" t="str">
        <f t="shared" ca="1" si="2"/>
        <v>3"</v>
      </c>
      <c r="AC19" s="40">
        <v>19</v>
      </c>
      <c r="AD19">
        <f t="shared" si="3"/>
        <v>0.38</v>
      </c>
    </row>
    <row r="20" spans="2:30" x14ac:dyDescent="0.25">
      <c r="G20" s="13" t="s">
        <v>8</v>
      </c>
      <c r="H20" s="14">
        <f>H16/2</f>
        <v>3203.2000000000003</v>
      </c>
      <c r="Q20" s="20">
        <v>750</v>
      </c>
      <c r="R20" s="21">
        <f t="shared" si="0"/>
        <v>475</v>
      </c>
      <c r="T20" s="34" t="str">
        <f t="shared" si="1"/>
        <v>750</v>
      </c>
      <c r="U20" s="37">
        <f t="shared" ca="1" si="4"/>
        <v>7</v>
      </c>
      <c r="V20" s="14" t="str">
        <f t="shared" ca="1" si="2"/>
        <v>Error: You have exceeded 4 inch conduit.</v>
      </c>
      <c r="AC20" s="40">
        <v>20</v>
      </c>
      <c r="AD20">
        <f t="shared" si="3"/>
        <v>0.38</v>
      </c>
    </row>
    <row r="21" spans="2:30" ht="15.75" thickBot="1" x14ac:dyDescent="0.3">
      <c r="G21" s="7" t="s">
        <v>9</v>
      </c>
      <c r="H21" s="15">
        <f>H16/3</f>
        <v>2135.4666666666667</v>
      </c>
      <c r="Q21" s="20">
        <v>800</v>
      </c>
      <c r="R21" s="21">
        <f t="shared" si="0"/>
        <v>490</v>
      </c>
      <c r="T21" s="34" t="str">
        <f t="shared" si="1"/>
        <v>800</v>
      </c>
      <c r="U21" s="37">
        <f t="shared" ca="1" si="4"/>
        <v>6</v>
      </c>
      <c r="V21" s="14" t="str">
        <f t="shared" ca="1" si="2"/>
        <v>Error: You have exceeded 4 inch conduit.</v>
      </c>
      <c r="AC21" s="40">
        <v>21</v>
      </c>
      <c r="AD21">
        <f t="shared" si="3"/>
        <v>0.37</v>
      </c>
    </row>
    <row r="22" spans="2:30" x14ac:dyDescent="0.25">
      <c r="Q22" s="20">
        <v>900</v>
      </c>
      <c r="R22" s="21">
        <f t="shared" si="0"/>
        <v>520</v>
      </c>
      <c r="T22" s="34" t="str">
        <f t="shared" si="1"/>
        <v>900</v>
      </c>
      <c r="U22" s="37">
        <f t="shared" ca="1" si="4"/>
        <v>3</v>
      </c>
      <c r="V22" s="14" t="str">
        <f t="shared" ca="1" si="2"/>
        <v>3"</v>
      </c>
      <c r="AC22" s="40">
        <v>22</v>
      </c>
      <c r="AD22">
        <f t="shared" si="3"/>
        <v>0.36</v>
      </c>
    </row>
    <row r="23" spans="2:30" x14ac:dyDescent="0.25">
      <c r="B23" s="26" t="s">
        <v>17</v>
      </c>
      <c r="C23" s="27" t="s">
        <v>18</v>
      </c>
      <c r="D23" s="27" t="s">
        <v>19</v>
      </c>
      <c r="E23" s="27" t="s">
        <v>23</v>
      </c>
      <c r="F23" s="27" t="s">
        <v>22</v>
      </c>
      <c r="G23" s="27" t="s">
        <v>20</v>
      </c>
      <c r="H23" s="27" t="s">
        <v>21</v>
      </c>
      <c r="I23" s="27" t="s">
        <v>24</v>
      </c>
      <c r="J23" s="27" t="s">
        <v>25</v>
      </c>
      <c r="K23" s="31"/>
      <c r="Q23" s="20">
        <v>1000</v>
      </c>
      <c r="R23" s="21">
        <f t="shared" si="0"/>
        <v>545</v>
      </c>
      <c r="T23" s="34" t="str">
        <f t="shared" si="1"/>
        <v>1000</v>
      </c>
      <c r="U23" s="37">
        <f t="shared" ca="1" si="4"/>
        <v>6</v>
      </c>
      <c r="V23" s="14" t="str">
        <f t="shared" ca="1" si="2"/>
        <v>Error: You have exceeded 4 inch conduit.</v>
      </c>
      <c r="AC23" s="40">
        <v>23</v>
      </c>
      <c r="AD23">
        <f t="shared" si="3"/>
        <v>0.36</v>
      </c>
    </row>
    <row r="24" spans="2:30" x14ac:dyDescent="0.25">
      <c r="B24" s="27">
        <v>480</v>
      </c>
      <c r="C24" s="27">
        <v>3</v>
      </c>
      <c r="D24" s="27">
        <v>600</v>
      </c>
      <c r="E24" s="27">
        <v>0.85</v>
      </c>
      <c r="F24" s="27">
        <v>4</v>
      </c>
      <c r="G24" s="29" t="s">
        <v>61</v>
      </c>
      <c r="H24" s="27">
        <v>700</v>
      </c>
      <c r="I24" s="27" t="s">
        <v>62</v>
      </c>
      <c r="J24" s="28" t="str">
        <f>voltagedrop(B24,C24,D24,E24,F24,G24,H24,I24)</f>
        <v>1.97%</v>
      </c>
      <c r="K24" s="32"/>
      <c r="Q24" s="20">
        <v>1250</v>
      </c>
      <c r="R24" s="21">
        <f t="shared" si="0"/>
        <v>590</v>
      </c>
      <c r="T24" s="34" t="str">
        <f t="shared" si="1"/>
        <v>1250</v>
      </c>
      <c r="U24" s="37">
        <f t="shared" ca="1" si="4"/>
        <v>5</v>
      </c>
      <c r="V24" s="14" t="str">
        <f t="shared" ca="1" si="2"/>
        <v>WireSize Size not recognized</v>
      </c>
      <c r="AC24" s="40">
        <v>24</v>
      </c>
      <c r="AD24">
        <f t="shared" si="3"/>
        <v>0.35</v>
      </c>
    </row>
    <row r="25" spans="2:30" x14ac:dyDescent="0.25">
      <c r="B25" s="27">
        <v>208</v>
      </c>
      <c r="C25" s="27">
        <v>3</v>
      </c>
      <c r="D25" s="27">
        <v>200</v>
      </c>
      <c r="E25" s="27">
        <v>0.9</v>
      </c>
      <c r="F25" s="27">
        <v>2</v>
      </c>
      <c r="G25" s="29" t="s">
        <v>15</v>
      </c>
      <c r="H25" s="27">
        <v>20</v>
      </c>
      <c r="I25" s="27" t="s">
        <v>28</v>
      </c>
      <c r="J25" s="28" t="str">
        <f>voltagedrop(B25,C25,D25,E25,F25,G25,H25,I25)</f>
        <v>0.13%</v>
      </c>
      <c r="K25" s="32"/>
      <c r="Q25" s="20">
        <v>1500</v>
      </c>
      <c r="R25" s="21">
        <f t="shared" si="0"/>
        <v>625</v>
      </c>
      <c r="T25" s="34" t="str">
        <f t="shared" si="1"/>
        <v>1500</v>
      </c>
      <c r="U25" s="37">
        <f t="shared" ca="1" si="4"/>
        <v>6</v>
      </c>
      <c r="V25" s="14" t="str">
        <f t="shared" ca="1" si="2"/>
        <v>WireSize Size not recognized</v>
      </c>
      <c r="AC25" s="40">
        <v>25</v>
      </c>
      <c r="AD25">
        <f t="shared" si="3"/>
        <v>0.35</v>
      </c>
    </row>
    <row r="26" spans="2:30" x14ac:dyDescent="0.25">
      <c r="B26" s="27">
        <v>208</v>
      </c>
      <c r="C26" s="27">
        <v>1</v>
      </c>
      <c r="D26" s="27">
        <v>300</v>
      </c>
      <c r="E26" s="27">
        <v>0.9</v>
      </c>
      <c r="F26" s="27">
        <v>3</v>
      </c>
      <c r="G26" s="29" t="s">
        <v>29</v>
      </c>
      <c r="H26" s="27">
        <v>30</v>
      </c>
      <c r="I26" s="27" t="s">
        <v>28</v>
      </c>
      <c r="J26" s="28" t="str">
        <f t="shared" ref="J26:J31" si="5">voltagedrop(B26,C26,D26,E26,F26,G26,H26,I26)</f>
        <v>0.88%</v>
      </c>
      <c r="K26" s="32"/>
      <c r="Q26" s="20">
        <v>1750</v>
      </c>
      <c r="R26" s="21">
        <f t="shared" si="0"/>
        <v>650</v>
      </c>
      <c r="T26" s="34" t="str">
        <f t="shared" si="1"/>
        <v>1750</v>
      </c>
      <c r="U26" s="37">
        <f t="shared" ca="1" si="4"/>
        <v>7</v>
      </c>
      <c r="V26" s="14" t="str">
        <f t="shared" ca="1" si="2"/>
        <v>WireSize Size not recognized</v>
      </c>
      <c r="AC26" s="40">
        <v>26</v>
      </c>
      <c r="AD26">
        <f t="shared" si="3"/>
        <v>0.34</v>
      </c>
    </row>
    <row r="27" spans="2:30" ht="15.75" thickBot="1" x14ac:dyDescent="0.3">
      <c r="B27" s="27">
        <v>208</v>
      </c>
      <c r="C27" s="27">
        <v>3</v>
      </c>
      <c r="D27" s="27">
        <v>400</v>
      </c>
      <c r="E27" s="27">
        <v>0.9</v>
      </c>
      <c r="F27" s="27">
        <v>4</v>
      </c>
      <c r="G27" s="29" t="s">
        <v>26</v>
      </c>
      <c r="H27" s="27">
        <v>40</v>
      </c>
      <c r="I27" s="27" t="s">
        <v>28</v>
      </c>
      <c r="J27" s="28" t="str">
        <f t="shared" si="5"/>
        <v>0.84%</v>
      </c>
      <c r="K27" s="32"/>
      <c r="Q27" s="24">
        <v>2000</v>
      </c>
      <c r="R27" s="25">
        <f t="shared" si="0"/>
        <v>665</v>
      </c>
      <c r="T27" s="35" t="str">
        <f t="shared" si="1"/>
        <v>2000</v>
      </c>
      <c r="U27" s="38">
        <f t="shared" ca="1" si="4"/>
        <v>1</v>
      </c>
      <c r="V27" s="12" t="str">
        <f t="shared" ca="1" si="2"/>
        <v>WireSize Size not recognized</v>
      </c>
      <c r="AC27" s="40">
        <v>27</v>
      </c>
      <c r="AD27">
        <f t="shared" si="3"/>
        <v>0.34</v>
      </c>
    </row>
    <row r="28" spans="2:30" x14ac:dyDescent="0.25">
      <c r="B28" s="27">
        <v>208</v>
      </c>
      <c r="C28" s="27">
        <v>1</v>
      </c>
      <c r="D28" s="27">
        <v>500</v>
      </c>
      <c r="E28" s="27">
        <v>0.9</v>
      </c>
      <c r="F28" s="27">
        <v>5</v>
      </c>
      <c r="G28" s="29" t="s">
        <v>31</v>
      </c>
      <c r="H28" s="27">
        <v>50</v>
      </c>
      <c r="I28" s="27" t="s">
        <v>28</v>
      </c>
      <c r="J28" s="28" t="str">
        <f t="shared" si="5"/>
        <v>0.99%</v>
      </c>
      <c r="K28" s="32"/>
      <c r="AC28" s="40">
        <v>28</v>
      </c>
      <c r="AD28">
        <f t="shared" si="3"/>
        <v>0.33</v>
      </c>
    </row>
    <row r="29" spans="2:30" x14ac:dyDescent="0.25">
      <c r="B29" s="27">
        <v>208</v>
      </c>
      <c r="C29" s="27">
        <v>3</v>
      </c>
      <c r="D29" s="27">
        <v>600</v>
      </c>
      <c r="E29" s="27">
        <v>0.9</v>
      </c>
      <c r="F29" s="27">
        <v>6</v>
      </c>
      <c r="G29" s="29" t="s">
        <v>27</v>
      </c>
      <c r="H29" s="27">
        <v>60</v>
      </c>
      <c r="I29" s="27" t="s">
        <v>28</v>
      </c>
      <c r="J29" s="28" t="str">
        <f>voltagedrop(B29,C29,D29,E29,F29,G29,H29,I29)</f>
        <v>0.84%</v>
      </c>
      <c r="K29" s="32"/>
      <c r="AC29" s="40">
        <v>29</v>
      </c>
      <c r="AD29">
        <f t="shared" si="3"/>
        <v>0.33</v>
      </c>
    </row>
    <row r="30" spans="2:30" x14ac:dyDescent="0.25">
      <c r="B30" s="27">
        <v>208</v>
      </c>
      <c r="C30" s="27">
        <v>1</v>
      </c>
      <c r="D30" s="27">
        <v>700</v>
      </c>
      <c r="E30" s="27">
        <v>0.9</v>
      </c>
      <c r="F30" s="27">
        <v>7</v>
      </c>
      <c r="G30" s="29" t="s">
        <v>15</v>
      </c>
      <c r="H30" s="27">
        <v>70</v>
      </c>
      <c r="I30" s="27" t="s">
        <v>28</v>
      </c>
      <c r="J30" s="28" t="str">
        <f t="shared" si="5"/>
        <v>0.53%</v>
      </c>
      <c r="K30" s="32"/>
      <c r="AC30" s="40">
        <v>30</v>
      </c>
      <c r="AD30">
        <f t="shared" si="3"/>
        <v>0.33</v>
      </c>
    </row>
    <row r="31" spans="2:30" x14ac:dyDescent="0.25">
      <c r="B31" s="27">
        <v>208</v>
      </c>
      <c r="C31" s="27">
        <v>3</v>
      </c>
      <c r="D31" s="27">
        <v>800</v>
      </c>
      <c r="E31" s="27">
        <v>0.9</v>
      </c>
      <c r="F31" s="27">
        <v>8</v>
      </c>
      <c r="G31" s="29" t="s">
        <v>30</v>
      </c>
      <c r="H31" s="27">
        <v>80</v>
      </c>
      <c r="I31" s="27" t="s">
        <v>28</v>
      </c>
      <c r="J31" s="28" t="str">
        <f t="shared" si="5"/>
        <v>0.29%</v>
      </c>
      <c r="K31" s="32"/>
      <c r="AC31" s="40">
        <v>31</v>
      </c>
      <c r="AD31">
        <f t="shared" si="3"/>
        <v>0.32</v>
      </c>
    </row>
    <row r="32" spans="2:30" x14ac:dyDescent="0.25">
      <c r="I32" s="17"/>
      <c r="AC32" s="40">
        <v>32</v>
      </c>
      <c r="AD32">
        <f t="shared" si="3"/>
        <v>0.31</v>
      </c>
    </row>
    <row r="33" spans="1:30" ht="15.75" thickBot="1" x14ac:dyDescent="0.3">
      <c r="D33" s="17"/>
      <c r="AC33" s="40">
        <v>33</v>
      </c>
      <c r="AD33">
        <f t="shared" si="3"/>
        <v>0.31</v>
      </c>
    </row>
    <row r="34" spans="1:30" x14ac:dyDescent="0.25">
      <c r="B34" s="3" t="s">
        <v>1</v>
      </c>
      <c r="C34" s="4" t="s">
        <v>2</v>
      </c>
      <c r="D34" s="5" t="s">
        <v>3</v>
      </c>
      <c r="E34" s="5" t="s">
        <v>4</v>
      </c>
      <c r="F34" s="5" t="s">
        <v>5</v>
      </c>
      <c r="G34" s="5" t="s">
        <v>32</v>
      </c>
      <c r="H34" s="10" t="s">
        <v>6</v>
      </c>
      <c r="J34" t="s">
        <v>59</v>
      </c>
      <c r="K34" t="s">
        <v>60</v>
      </c>
      <c r="AC34" s="40">
        <v>34</v>
      </c>
      <c r="AD34">
        <f t="shared" si="3"/>
        <v>0.3</v>
      </c>
    </row>
    <row r="35" spans="1:30" ht="15.75" thickBot="1" x14ac:dyDescent="0.3">
      <c r="A35" t="s">
        <v>34</v>
      </c>
      <c r="B35" s="9">
        <v>60</v>
      </c>
      <c r="C35" s="8">
        <v>480</v>
      </c>
      <c r="D35" s="8">
        <v>3</v>
      </c>
      <c r="E35" s="16">
        <v>72</v>
      </c>
      <c r="F35" s="8" t="str">
        <f t="shared" ref="F35:F42" si="6">WireSize(E35)</f>
        <v>2</v>
      </c>
      <c r="G35" s="11" t="str">
        <f>OCPD(E35)</f>
        <v>90</v>
      </c>
      <c r="H35" s="12">
        <f>C35*E35*SQRT(D35)</f>
        <v>59859.675909580394</v>
      </c>
      <c r="J35" t="str">
        <f>conduit(D35+2,F35)</f>
        <v>1 1/4"</v>
      </c>
      <c r="K35" t="str">
        <f>GROUNDSIZE(G35,"Cu")</f>
        <v>8</v>
      </c>
      <c r="AC35" s="40">
        <v>35</v>
      </c>
      <c r="AD35">
        <f t="shared" si="3"/>
        <v>0.3</v>
      </c>
    </row>
    <row r="36" spans="1:30" ht="15.75" thickBot="1" x14ac:dyDescent="0.3">
      <c r="A36" t="s">
        <v>35</v>
      </c>
      <c r="B36" s="9">
        <v>60</v>
      </c>
      <c r="C36" s="8">
        <v>480</v>
      </c>
      <c r="D36" s="8">
        <v>3</v>
      </c>
      <c r="E36" s="16">
        <v>72</v>
      </c>
      <c r="F36" s="8" t="str">
        <f t="shared" si="6"/>
        <v>2</v>
      </c>
      <c r="G36" s="11" t="str">
        <f>OCPD(E36)</f>
        <v>90</v>
      </c>
      <c r="H36" s="12">
        <f>C36*E36*SQRT(D36)</f>
        <v>59859.675909580394</v>
      </c>
      <c r="J36" t="str">
        <f t="shared" ref="J36:J49" si="7">conduit(D36+2,F36)</f>
        <v>1 1/4"</v>
      </c>
      <c r="AC36" s="40">
        <v>36</v>
      </c>
      <c r="AD36">
        <f t="shared" si="3"/>
        <v>0.3</v>
      </c>
    </row>
    <row r="37" spans="1:30" ht="15.75" thickBot="1" x14ac:dyDescent="0.3">
      <c r="A37" t="s">
        <v>36</v>
      </c>
      <c r="B37" s="9">
        <v>30</v>
      </c>
      <c r="C37" s="8">
        <v>480</v>
      </c>
      <c r="D37" s="8">
        <v>3</v>
      </c>
      <c r="E37" s="16">
        <v>36</v>
      </c>
      <c r="F37" s="8" t="str">
        <f t="shared" si="6"/>
        <v>6</v>
      </c>
      <c r="G37" s="11" t="str">
        <f t="shared" ref="G37:G39" si="8">OCPD(E37)</f>
        <v>45</v>
      </c>
      <c r="H37" s="12">
        <f>C37*E37*SQRT(D37)</f>
        <v>29929.837954790197</v>
      </c>
      <c r="J37" t="str">
        <f t="shared" si="7"/>
        <v>1"</v>
      </c>
      <c r="AC37" s="40">
        <v>37</v>
      </c>
      <c r="AD37">
        <f t="shared" si="3"/>
        <v>0.28999999999999998</v>
      </c>
    </row>
    <row r="38" spans="1:30" ht="15.75" thickBot="1" x14ac:dyDescent="0.3">
      <c r="A38" t="s">
        <v>37</v>
      </c>
      <c r="B38" s="9">
        <v>30</v>
      </c>
      <c r="C38" s="8">
        <v>480</v>
      </c>
      <c r="D38" s="8">
        <v>3</v>
      </c>
      <c r="E38" s="16">
        <v>36</v>
      </c>
      <c r="F38" s="8" t="str">
        <f t="shared" si="6"/>
        <v>6</v>
      </c>
      <c r="G38" s="11" t="str">
        <f t="shared" si="8"/>
        <v>45</v>
      </c>
      <c r="H38" s="12">
        <f>C38*E38*SQRT(D38)</f>
        <v>29929.837954790197</v>
      </c>
      <c r="J38" t="str">
        <f t="shared" si="7"/>
        <v>1"</v>
      </c>
      <c r="AC38" s="40">
        <v>38</v>
      </c>
      <c r="AD38">
        <f t="shared" si="3"/>
        <v>0.28999999999999998</v>
      </c>
    </row>
    <row r="39" spans="1:30" ht="15.75" thickBot="1" x14ac:dyDescent="0.3">
      <c r="A39" t="s">
        <v>38</v>
      </c>
      <c r="B39" s="9">
        <v>40</v>
      </c>
      <c r="C39" s="8">
        <v>480</v>
      </c>
      <c r="D39" s="8">
        <v>3</v>
      </c>
      <c r="E39" s="16">
        <v>45</v>
      </c>
      <c r="F39" s="8" t="str">
        <f t="shared" si="6"/>
        <v>4</v>
      </c>
      <c r="G39" s="11" t="str">
        <f t="shared" si="8"/>
        <v>60</v>
      </c>
      <c r="H39" s="12">
        <f>C39*E39*SQRT(D39)</f>
        <v>37412.297443487747</v>
      </c>
      <c r="J39" t="str">
        <f t="shared" si="7"/>
        <v>1 1/4"</v>
      </c>
      <c r="AC39" s="40">
        <v>39</v>
      </c>
      <c r="AD39">
        <f t="shared" si="3"/>
        <v>0.28000000000000003</v>
      </c>
    </row>
    <row r="40" spans="1:30" ht="15.75" thickBot="1" x14ac:dyDescent="0.3">
      <c r="A40" t="s">
        <v>39</v>
      </c>
      <c r="B40" s="9">
        <v>50</v>
      </c>
      <c r="C40" s="8">
        <v>480</v>
      </c>
      <c r="D40" s="8">
        <v>3</v>
      </c>
      <c r="E40" s="16">
        <v>75</v>
      </c>
      <c r="F40" s="8" t="str">
        <f t="shared" si="6"/>
        <v>2</v>
      </c>
      <c r="G40" s="11" t="str">
        <f t="shared" ref="G40:G46" si="9">OCPD(E40)</f>
        <v>100</v>
      </c>
      <c r="H40" s="12">
        <f t="shared" ref="H40:H46" si="10">C40*E40*SQRT(D40)</f>
        <v>62353.829072479581</v>
      </c>
      <c r="J40" t="str">
        <f t="shared" si="7"/>
        <v>1 1/4"</v>
      </c>
      <c r="AC40" s="40">
        <v>40</v>
      </c>
      <c r="AD40">
        <f t="shared" si="3"/>
        <v>0.28000000000000003</v>
      </c>
    </row>
    <row r="41" spans="1:30" ht="15.75" thickBot="1" x14ac:dyDescent="0.3">
      <c r="A41" t="s">
        <v>40</v>
      </c>
      <c r="B41" s="9">
        <v>50</v>
      </c>
      <c r="C41" s="8">
        <v>480</v>
      </c>
      <c r="D41" s="8">
        <v>3</v>
      </c>
      <c r="E41" s="16">
        <v>75</v>
      </c>
      <c r="F41" s="8" t="str">
        <f t="shared" si="6"/>
        <v>2</v>
      </c>
      <c r="G41" s="11" t="str">
        <f t="shared" si="9"/>
        <v>100</v>
      </c>
      <c r="H41" s="12">
        <f t="shared" si="10"/>
        <v>62353.829072479581</v>
      </c>
      <c r="J41" t="str">
        <f t="shared" si="7"/>
        <v>1 1/4"</v>
      </c>
      <c r="AC41" s="40">
        <v>41</v>
      </c>
      <c r="AD41">
        <f t="shared" si="3"/>
        <v>0.28000000000000003</v>
      </c>
    </row>
    <row r="42" spans="1:30" ht="15.75" thickBot="1" x14ac:dyDescent="0.3">
      <c r="A42" t="s">
        <v>41</v>
      </c>
      <c r="B42" s="9">
        <v>50</v>
      </c>
      <c r="C42" s="8">
        <v>480</v>
      </c>
      <c r="D42" s="8">
        <v>3</v>
      </c>
      <c r="E42" s="16">
        <v>75</v>
      </c>
      <c r="F42" s="8" t="str">
        <f t="shared" si="6"/>
        <v>2</v>
      </c>
      <c r="G42" s="11" t="str">
        <f t="shared" si="9"/>
        <v>100</v>
      </c>
      <c r="H42" s="12">
        <f t="shared" si="10"/>
        <v>62353.829072479581</v>
      </c>
      <c r="J42" t="str">
        <f t="shared" si="7"/>
        <v>1 1/4"</v>
      </c>
      <c r="AC42" s="40">
        <v>42</v>
      </c>
      <c r="AD42">
        <f t="shared" si="3"/>
        <v>0.28000000000000003</v>
      </c>
    </row>
    <row r="43" spans="1:30" ht="15.75" thickBot="1" x14ac:dyDescent="0.3">
      <c r="A43" t="s">
        <v>42</v>
      </c>
      <c r="B43" s="9">
        <v>60</v>
      </c>
      <c r="C43" s="8">
        <v>480</v>
      </c>
      <c r="D43" s="8">
        <v>3</v>
      </c>
      <c r="E43" s="16">
        <v>87</v>
      </c>
      <c r="F43" s="8" t="str">
        <f t="shared" ref="F43:F49" si="11">WireSize(E43)</f>
        <v>1</v>
      </c>
      <c r="G43" s="11" t="str">
        <f t="shared" si="9"/>
        <v>110</v>
      </c>
      <c r="H43" s="12">
        <f t="shared" si="10"/>
        <v>72330.441724076314</v>
      </c>
      <c r="J43" t="str">
        <f t="shared" si="7"/>
        <v>1 1/2"</v>
      </c>
      <c r="AC43" s="40">
        <v>43</v>
      </c>
      <c r="AD43">
        <f t="shared" si="3"/>
        <v>0.27</v>
      </c>
    </row>
    <row r="44" spans="1:30" ht="15.75" thickBot="1" x14ac:dyDescent="0.3">
      <c r="A44" t="s">
        <v>43</v>
      </c>
      <c r="B44" s="9">
        <v>60</v>
      </c>
      <c r="C44" s="8">
        <v>480</v>
      </c>
      <c r="D44" s="8">
        <v>3</v>
      </c>
      <c r="E44" s="16">
        <v>87</v>
      </c>
      <c r="F44" s="8" t="str">
        <f t="shared" si="11"/>
        <v>1</v>
      </c>
      <c r="G44" s="11" t="str">
        <f t="shared" si="9"/>
        <v>110</v>
      </c>
      <c r="H44" s="12">
        <f t="shared" si="10"/>
        <v>72330.441724076314</v>
      </c>
      <c r="J44" t="str">
        <f t="shared" si="7"/>
        <v>1 1/2"</v>
      </c>
      <c r="AC44" s="40">
        <v>44</v>
      </c>
      <c r="AD44">
        <f t="shared" si="3"/>
        <v>0.27</v>
      </c>
    </row>
    <row r="45" spans="1:30" ht="15.75" thickBot="1" x14ac:dyDescent="0.3">
      <c r="A45" t="s">
        <v>44</v>
      </c>
      <c r="B45" s="9">
        <v>60</v>
      </c>
      <c r="C45" s="8">
        <v>480</v>
      </c>
      <c r="D45" s="8">
        <v>3</v>
      </c>
      <c r="E45" s="16">
        <v>87</v>
      </c>
      <c r="F45" s="8" t="str">
        <f t="shared" si="11"/>
        <v>1</v>
      </c>
      <c r="G45" s="11" t="str">
        <f t="shared" si="9"/>
        <v>110</v>
      </c>
      <c r="H45" s="12">
        <f>C45*E45*SQRT(D45)</f>
        <v>72330.441724076314</v>
      </c>
      <c r="I45" s="30"/>
      <c r="J45" t="str">
        <f t="shared" si="7"/>
        <v>1 1/2"</v>
      </c>
      <c r="R45" s="1"/>
      <c r="AC45" s="40">
        <v>45</v>
      </c>
      <c r="AD45">
        <f t="shared" si="3"/>
        <v>0.27</v>
      </c>
    </row>
    <row r="46" spans="1:30" ht="15.75" thickBot="1" x14ac:dyDescent="0.3">
      <c r="A46" t="s">
        <v>45</v>
      </c>
      <c r="B46" s="9">
        <v>75</v>
      </c>
      <c r="C46" s="8">
        <v>480</v>
      </c>
      <c r="D46" s="8">
        <v>3</v>
      </c>
      <c r="E46" s="16">
        <v>110</v>
      </c>
      <c r="F46" s="8" t="str">
        <f>WireSize(E46)</f>
        <v>1/0</v>
      </c>
      <c r="G46" s="11" t="str">
        <f t="shared" si="9"/>
        <v>150</v>
      </c>
      <c r="H46" s="12">
        <f t="shared" si="10"/>
        <v>91452.282639636716</v>
      </c>
      <c r="J46" t="str">
        <f t="shared" si="7"/>
        <v>2"</v>
      </c>
      <c r="AC46" s="40">
        <v>46</v>
      </c>
      <c r="AD46">
        <f t="shared" si="3"/>
        <v>0.26</v>
      </c>
    </row>
    <row r="47" spans="1:30" ht="15.75" thickBot="1" x14ac:dyDescent="0.3">
      <c r="A47" t="s">
        <v>46</v>
      </c>
      <c r="B47" s="9">
        <v>60</v>
      </c>
      <c r="C47" s="8">
        <v>480</v>
      </c>
      <c r="D47" s="8">
        <v>3</v>
      </c>
      <c r="E47" s="16">
        <v>87</v>
      </c>
      <c r="F47" s="8" t="str">
        <f t="shared" si="11"/>
        <v>1</v>
      </c>
      <c r="G47" s="11" t="str">
        <f t="shared" ref="G47:G49" si="12">OCPD(E47)</f>
        <v>110</v>
      </c>
      <c r="H47" s="12">
        <f t="shared" ref="H47:H49" si="13">C47*E47*SQRT(D47)</f>
        <v>72330.441724076314</v>
      </c>
      <c r="J47" t="str">
        <f t="shared" si="7"/>
        <v>1 1/2"</v>
      </c>
      <c r="AC47" s="40">
        <v>47</v>
      </c>
      <c r="AD47">
        <f t="shared" si="3"/>
        <v>0.26</v>
      </c>
    </row>
    <row r="48" spans="1:30" ht="15.75" thickBot="1" x14ac:dyDescent="0.3">
      <c r="B48" s="9"/>
      <c r="C48" s="8">
        <v>480</v>
      </c>
      <c r="D48" s="8">
        <v>3</v>
      </c>
      <c r="E48" s="16" t="str">
        <f t="shared" ref="E48:E49" si="14">fla(B48,C48,D48)</f>
        <v>HP not recognized at specified Voltage/Phase</v>
      </c>
      <c r="F48" s="8" t="e">
        <f t="shared" si="11"/>
        <v>#VALUE!</v>
      </c>
      <c r="G48" s="11" t="e">
        <f t="shared" si="12"/>
        <v>#VALUE!</v>
      </c>
      <c r="H48" s="12" t="e">
        <f t="shared" si="13"/>
        <v>#VALUE!</v>
      </c>
      <c r="J48" t="str">
        <f t="shared" si="7"/>
        <v>WireSize Size not recognized</v>
      </c>
      <c r="AC48" s="40">
        <v>48</v>
      </c>
      <c r="AD48">
        <f t="shared" si="3"/>
        <v>0.26</v>
      </c>
    </row>
    <row r="49" spans="1:30" ht="15.75" thickBot="1" x14ac:dyDescent="0.3">
      <c r="B49" s="9"/>
      <c r="C49" s="8">
        <v>480</v>
      </c>
      <c r="D49" s="8">
        <v>3</v>
      </c>
      <c r="E49" s="16" t="str">
        <f t="shared" si="14"/>
        <v>HP not recognized at specified Voltage/Phase</v>
      </c>
      <c r="F49" s="8" t="e">
        <f t="shared" si="11"/>
        <v>#VALUE!</v>
      </c>
      <c r="G49" s="11" t="e">
        <f t="shared" si="12"/>
        <v>#VALUE!</v>
      </c>
      <c r="H49" s="12" t="e">
        <f t="shared" si="13"/>
        <v>#VALUE!</v>
      </c>
      <c r="I49" s="1"/>
      <c r="J49" t="str">
        <f t="shared" si="7"/>
        <v>WireSize Size not recognized</v>
      </c>
      <c r="AC49" s="40">
        <v>49</v>
      </c>
      <c r="AD49">
        <f t="shared" si="3"/>
        <v>0.26</v>
      </c>
    </row>
    <row r="50" spans="1:30" x14ac:dyDescent="0.25">
      <c r="AC50" s="40">
        <v>50</v>
      </c>
      <c r="AD50">
        <f t="shared" si="3"/>
        <v>0.26</v>
      </c>
    </row>
    <row r="51" spans="1:30" x14ac:dyDescent="0.25">
      <c r="AC51" s="40">
        <v>51</v>
      </c>
      <c r="AD51">
        <f t="shared" si="3"/>
        <v>0.25</v>
      </c>
    </row>
    <row r="52" spans="1:30" x14ac:dyDescent="0.25">
      <c r="A52" t="s">
        <v>58</v>
      </c>
      <c r="AC52" s="40">
        <v>52</v>
      </c>
      <c r="AD52">
        <f t="shared" si="3"/>
        <v>0.25</v>
      </c>
    </row>
    <row r="53" spans="1:30" x14ac:dyDescent="0.25">
      <c r="A53" t="s">
        <v>57</v>
      </c>
      <c r="AC53" s="40">
        <v>53</v>
      </c>
      <c r="AD53">
        <f t="shared" si="3"/>
        <v>0.25</v>
      </c>
    </row>
    <row r="54" spans="1:30" x14ac:dyDescent="0.25">
      <c r="AC54" s="40">
        <v>54</v>
      </c>
      <c r="AD54">
        <f t="shared" si="3"/>
        <v>0.25</v>
      </c>
    </row>
    <row r="55" spans="1:30" x14ac:dyDescent="0.25">
      <c r="AC55" s="40">
        <v>55</v>
      </c>
      <c r="AD55">
        <f t="shared" si="3"/>
        <v>0.25</v>
      </c>
    </row>
    <row r="56" spans="1:30" x14ac:dyDescent="0.25">
      <c r="AC56" s="40">
        <v>56</v>
      </c>
      <c r="AD56">
        <f t="shared" si="3"/>
        <v>0.24</v>
      </c>
    </row>
    <row r="57" spans="1:30" x14ac:dyDescent="0.25">
      <c r="AC57" s="40">
        <v>57</v>
      </c>
      <c r="AD57">
        <f t="shared" si="3"/>
        <v>0.24</v>
      </c>
    </row>
    <row r="58" spans="1:30" x14ac:dyDescent="0.25">
      <c r="AC58" s="40">
        <v>58</v>
      </c>
      <c r="AD58">
        <f t="shared" si="3"/>
        <v>0.24</v>
      </c>
    </row>
    <row r="59" spans="1:30" x14ac:dyDescent="0.25">
      <c r="AC59" s="40">
        <v>59</v>
      </c>
      <c r="AD59">
        <f t="shared" si="3"/>
        <v>0.24</v>
      </c>
    </row>
    <row r="60" spans="1:30" x14ac:dyDescent="0.25">
      <c r="AC60" s="40">
        <v>60</v>
      </c>
      <c r="AD60">
        <f t="shared" si="3"/>
        <v>0.24</v>
      </c>
    </row>
    <row r="61" spans="1:30" x14ac:dyDescent="0.25">
      <c r="AC61" s="40">
        <v>61</v>
      </c>
      <c r="AD61">
        <f t="shared" si="3"/>
        <v>0.24</v>
      </c>
    </row>
    <row r="62" spans="1:30" x14ac:dyDescent="0.25">
      <c r="AC62" s="40">
        <v>62</v>
      </c>
      <c r="AD62">
        <f t="shared" si="3"/>
        <v>0.23</v>
      </c>
    </row>
    <row r="63" spans="1:30" x14ac:dyDescent="0.25">
      <c r="AC63" s="40">
        <v>63</v>
      </c>
      <c r="AD63">
        <f t="shared" si="3"/>
        <v>0.23</v>
      </c>
    </row>
    <row r="64" spans="1:30" x14ac:dyDescent="0.25">
      <c r="AC64" s="40">
        <v>64</v>
      </c>
      <c r="AD64">
        <f t="shared" si="3"/>
        <v>0.23</v>
      </c>
    </row>
    <row r="65" spans="4:30" x14ac:dyDescent="0.25">
      <c r="AC65" s="40">
        <v>65</v>
      </c>
      <c r="AD65">
        <f t="shared" si="3"/>
        <v>0.23</v>
      </c>
    </row>
    <row r="66" spans="4:30" x14ac:dyDescent="0.25">
      <c r="D66" s="41">
        <f>SUM(E35:E39)</f>
        <v>261</v>
      </c>
      <c r="AC66" s="40">
        <v>66</v>
      </c>
      <c r="AD66">
        <f t="shared" ref="AD66:AD103" si="15">DEMAND(AC66)</f>
        <v>0.23</v>
      </c>
    </row>
    <row r="67" spans="4:30" x14ac:dyDescent="0.25">
      <c r="D67">
        <f>E35*1.25+SUM(E36:E39)</f>
        <v>279</v>
      </c>
      <c r="AC67" s="40">
        <v>67</v>
      </c>
      <c r="AD67">
        <f t="shared" si="15"/>
        <v>0.23</v>
      </c>
    </row>
    <row r="68" spans="4:30" x14ac:dyDescent="0.25">
      <c r="AC68" s="40">
        <v>68</v>
      </c>
      <c r="AD68">
        <f t="shared" si="15"/>
        <v>0.23</v>
      </c>
    </row>
    <row r="69" spans="4:30" x14ac:dyDescent="0.25">
      <c r="AC69" s="40">
        <v>69</v>
      </c>
      <c r="AD69">
        <f t="shared" si="15"/>
        <v>0.23</v>
      </c>
    </row>
    <row r="70" spans="4:30" x14ac:dyDescent="0.25">
      <c r="AC70" s="40">
        <v>70</v>
      </c>
      <c r="AD70">
        <f t="shared" si="15"/>
        <v>0.23</v>
      </c>
    </row>
    <row r="71" spans="4:30" x14ac:dyDescent="0.25">
      <c r="AC71" s="40">
        <v>71</v>
      </c>
      <c r="AD71">
        <f t="shared" si="15"/>
        <v>0.23</v>
      </c>
    </row>
    <row r="72" spans="4:30" x14ac:dyDescent="0.25">
      <c r="AC72" s="40">
        <v>72</v>
      </c>
      <c r="AD72">
        <f t="shared" si="15"/>
        <v>0.23</v>
      </c>
    </row>
    <row r="73" spans="4:30" x14ac:dyDescent="0.25">
      <c r="AC73" s="40">
        <v>73</v>
      </c>
      <c r="AD73">
        <f t="shared" si="15"/>
        <v>0.23</v>
      </c>
    </row>
    <row r="74" spans="4:30" x14ac:dyDescent="0.25">
      <c r="AC74" s="40">
        <v>74</v>
      </c>
      <c r="AD74">
        <f t="shared" si="15"/>
        <v>0.23</v>
      </c>
    </row>
    <row r="75" spans="4:30" x14ac:dyDescent="0.25">
      <c r="AC75" s="40">
        <v>75</v>
      </c>
      <c r="AD75">
        <f t="shared" si="15"/>
        <v>0.23</v>
      </c>
    </row>
    <row r="76" spans="4:30" x14ac:dyDescent="0.25">
      <c r="AC76" s="40">
        <v>76</v>
      </c>
      <c r="AD76">
        <f t="shared" si="15"/>
        <v>0.23</v>
      </c>
    </row>
    <row r="77" spans="4:30" x14ac:dyDescent="0.25">
      <c r="AC77" s="40">
        <v>77</v>
      </c>
      <c r="AD77">
        <f t="shared" si="15"/>
        <v>0.23</v>
      </c>
    </row>
    <row r="78" spans="4:30" x14ac:dyDescent="0.25">
      <c r="AC78" s="40">
        <v>78</v>
      </c>
      <c r="AD78">
        <f t="shared" si="15"/>
        <v>0.23</v>
      </c>
    </row>
    <row r="79" spans="4:30" x14ac:dyDescent="0.25">
      <c r="AC79" s="40">
        <v>79</v>
      </c>
      <c r="AD79">
        <f t="shared" si="15"/>
        <v>0.23</v>
      </c>
    </row>
    <row r="80" spans="4:30" x14ac:dyDescent="0.25">
      <c r="AC80" s="40">
        <v>80</v>
      </c>
      <c r="AD80">
        <f t="shared" si="15"/>
        <v>0.23</v>
      </c>
    </row>
    <row r="81" spans="29:30" x14ac:dyDescent="0.25">
      <c r="AC81" s="40">
        <v>81</v>
      </c>
      <c r="AD81">
        <f t="shared" si="15"/>
        <v>0.23</v>
      </c>
    </row>
    <row r="82" spans="29:30" x14ac:dyDescent="0.25">
      <c r="AC82" s="40">
        <v>82</v>
      </c>
      <c r="AD82">
        <f t="shared" si="15"/>
        <v>0.23</v>
      </c>
    </row>
    <row r="83" spans="29:30" x14ac:dyDescent="0.25">
      <c r="AC83" s="40">
        <v>83</v>
      </c>
      <c r="AD83">
        <f t="shared" si="15"/>
        <v>0.23</v>
      </c>
    </row>
    <row r="84" spans="29:30" x14ac:dyDescent="0.25">
      <c r="AC84" s="40">
        <v>84</v>
      </c>
      <c r="AD84">
        <f t="shared" si="15"/>
        <v>0.23</v>
      </c>
    </row>
    <row r="85" spans="29:30" x14ac:dyDescent="0.25">
      <c r="AC85" s="40">
        <v>85</v>
      </c>
      <c r="AD85">
        <f t="shared" si="15"/>
        <v>0.23</v>
      </c>
    </row>
    <row r="86" spans="29:30" x14ac:dyDescent="0.25">
      <c r="AC86" s="40">
        <v>86</v>
      </c>
      <c r="AD86">
        <f t="shared" si="15"/>
        <v>0.23</v>
      </c>
    </row>
    <row r="87" spans="29:30" x14ac:dyDescent="0.25">
      <c r="AC87" s="40">
        <v>87</v>
      </c>
      <c r="AD87">
        <f t="shared" si="15"/>
        <v>0.23</v>
      </c>
    </row>
    <row r="88" spans="29:30" x14ac:dyDescent="0.25">
      <c r="AC88" s="40">
        <v>88</v>
      </c>
      <c r="AD88">
        <f t="shared" si="15"/>
        <v>0.23</v>
      </c>
    </row>
    <row r="89" spans="29:30" x14ac:dyDescent="0.25">
      <c r="AC89" s="40">
        <v>89</v>
      </c>
      <c r="AD89">
        <f t="shared" si="15"/>
        <v>0.23</v>
      </c>
    </row>
    <row r="90" spans="29:30" x14ac:dyDescent="0.25">
      <c r="AC90" s="40">
        <v>90</v>
      </c>
      <c r="AD90">
        <f t="shared" si="15"/>
        <v>0.23</v>
      </c>
    </row>
    <row r="91" spans="29:30" x14ac:dyDescent="0.25">
      <c r="AC91" s="40">
        <v>91</v>
      </c>
      <c r="AD91">
        <f t="shared" si="15"/>
        <v>0.23</v>
      </c>
    </row>
    <row r="92" spans="29:30" x14ac:dyDescent="0.25">
      <c r="AC92" s="40">
        <v>92</v>
      </c>
      <c r="AD92">
        <f t="shared" si="15"/>
        <v>0.23</v>
      </c>
    </row>
    <row r="93" spans="29:30" x14ac:dyDescent="0.25">
      <c r="AC93" s="40">
        <v>93</v>
      </c>
      <c r="AD93">
        <f t="shared" si="15"/>
        <v>0.23</v>
      </c>
    </row>
    <row r="94" spans="29:30" x14ac:dyDescent="0.25">
      <c r="AC94" s="40">
        <v>94</v>
      </c>
      <c r="AD94">
        <f t="shared" si="15"/>
        <v>0.23</v>
      </c>
    </row>
    <row r="95" spans="29:30" x14ac:dyDescent="0.25">
      <c r="AC95" s="40">
        <v>95</v>
      </c>
      <c r="AD95">
        <f t="shared" si="15"/>
        <v>0.23</v>
      </c>
    </row>
    <row r="96" spans="29:30" x14ac:dyDescent="0.25">
      <c r="AC96" s="40">
        <v>96</v>
      </c>
      <c r="AD96">
        <f t="shared" si="15"/>
        <v>0.23</v>
      </c>
    </row>
    <row r="97" spans="29:30" x14ac:dyDescent="0.25">
      <c r="AC97" s="40">
        <v>97</v>
      </c>
      <c r="AD97">
        <f t="shared" si="15"/>
        <v>0.23</v>
      </c>
    </row>
    <row r="98" spans="29:30" x14ac:dyDescent="0.25">
      <c r="AC98" s="40">
        <v>98</v>
      </c>
      <c r="AD98">
        <f t="shared" si="15"/>
        <v>0.23</v>
      </c>
    </row>
    <row r="99" spans="29:30" x14ac:dyDescent="0.25">
      <c r="AC99" s="40">
        <v>99</v>
      </c>
      <c r="AD99">
        <f t="shared" si="15"/>
        <v>0.23</v>
      </c>
    </row>
    <row r="100" spans="29:30" x14ac:dyDescent="0.25">
      <c r="AC100" s="40">
        <v>100</v>
      </c>
      <c r="AD100">
        <f t="shared" si="15"/>
        <v>0.23</v>
      </c>
    </row>
    <row r="101" spans="29:30" x14ac:dyDescent="0.25">
      <c r="AC101" s="40">
        <v>101</v>
      </c>
      <c r="AD101">
        <f t="shared" si="15"/>
        <v>0.23</v>
      </c>
    </row>
    <row r="102" spans="29:30" x14ac:dyDescent="0.25">
      <c r="AC102" s="40">
        <v>102</v>
      </c>
      <c r="AD102">
        <f t="shared" si="15"/>
        <v>0.23</v>
      </c>
    </row>
    <row r="103" spans="29:30" x14ac:dyDescent="0.25">
      <c r="AC103" s="40">
        <v>103</v>
      </c>
      <c r="AD103">
        <f t="shared" si="15"/>
        <v>0.23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B43"/>
  <sheetViews>
    <sheetView zoomScale="40" zoomScaleNormal="40" workbookViewId="0">
      <selection activeCell="J53" sqref="J53"/>
    </sheetView>
  </sheetViews>
  <sheetFormatPr defaultRowHeight="15" x14ac:dyDescent="0.25"/>
  <cols>
    <col min="28" max="28" width="10.28515625" bestFit="1" customWidth="1"/>
  </cols>
  <sheetData>
    <row r="1" spans="2:54" x14ac:dyDescent="0.25">
      <c r="B1" s="26" t="s">
        <v>17</v>
      </c>
      <c r="C1" s="27" t="s">
        <v>18</v>
      </c>
      <c r="D1" s="27" t="s">
        <v>19</v>
      </c>
      <c r="E1" s="27" t="s">
        <v>23</v>
      </c>
      <c r="F1" s="27" t="s">
        <v>22</v>
      </c>
      <c r="G1" s="27" t="s">
        <v>20</v>
      </c>
      <c r="H1" s="27" t="s">
        <v>21</v>
      </c>
      <c r="I1" s="27" t="s">
        <v>24</v>
      </c>
      <c r="J1" s="27" t="s">
        <v>25</v>
      </c>
      <c r="M1" s="26" t="s">
        <v>17</v>
      </c>
      <c r="N1" s="27" t="s">
        <v>18</v>
      </c>
      <c r="O1" s="27" t="s">
        <v>19</v>
      </c>
      <c r="P1" s="27" t="s">
        <v>23</v>
      </c>
      <c r="Q1" s="27" t="s">
        <v>22</v>
      </c>
      <c r="R1" s="27" t="s">
        <v>20</v>
      </c>
      <c r="S1" s="27" t="s">
        <v>21</v>
      </c>
      <c r="T1" s="27" t="s">
        <v>24</v>
      </c>
      <c r="U1" s="27" t="s">
        <v>25</v>
      </c>
      <c r="X1" s="26" t="s">
        <v>17</v>
      </c>
      <c r="Y1" s="27" t="s">
        <v>18</v>
      </c>
      <c r="Z1" s="27" t="s">
        <v>19</v>
      </c>
      <c r="AA1" s="27" t="s">
        <v>23</v>
      </c>
      <c r="AB1" s="27" t="s">
        <v>22</v>
      </c>
      <c r="AC1" s="27" t="s">
        <v>20</v>
      </c>
      <c r="AD1" s="27" t="s">
        <v>21</v>
      </c>
      <c r="AE1" s="27" t="s">
        <v>24</v>
      </c>
      <c r="AF1" s="27" t="s">
        <v>25</v>
      </c>
      <c r="AI1" s="26" t="s">
        <v>17</v>
      </c>
      <c r="AJ1" s="27" t="s">
        <v>18</v>
      </c>
      <c r="AK1" s="27" t="s">
        <v>19</v>
      </c>
      <c r="AL1" s="27" t="s">
        <v>23</v>
      </c>
      <c r="AM1" s="27" t="s">
        <v>22</v>
      </c>
      <c r="AN1" s="27" t="s">
        <v>20</v>
      </c>
      <c r="AO1" s="27" t="s">
        <v>21</v>
      </c>
      <c r="AP1" s="27" t="s">
        <v>24</v>
      </c>
      <c r="AQ1" s="27" t="s">
        <v>25</v>
      </c>
      <c r="AT1" s="26" t="s">
        <v>17</v>
      </c>
      <c r="AU1" s="27" t="s">
        <v>18</v>
      </c>
      <c r="AV1" s="27" t="s">
        <v>19</v>
      </c>
      <c r="AW1" s="27" t="s">
        <v>23</v>
      </c>
      <c r="AX1" s="27" t="s">
        <v>22</v>
      </c>
      <c r="AY1" s="27" t="s">
        <v>20</v>
      </c>
      <c r="AZ1" s="27" t="s">
        <v>21</v>
      </c>
      <c r="BA1" s="27" t="s">
        <v>24</v>
      </c>
      <c r="BB1" s="27" t="s">
        <v>25</v>
      </c>
    </row>
    <row r="2" spans="2:54" x14ac:dyDescent="0.25">
      <c r="B2" s="27">
        <v>208</v>
      </c>
      <c r="C2" s="27">
        <v>3</v>
      </c>
      <c r="D2" s="27">
        <v>350</v>
      </c>
      <c r="E2" s="27">
        <v>0.95</v>
      </c>
      <c r="F2" s="27">
        <v>1</v>
      </c>
      <c r="G2" s="29" t="s">
        <v>30</v>
      </c>
      <c r="H2" s="27">
        <v>100</v>
      </c>
      <c r="I2" s="27" t="s">
        <v>28</v>
      </c>
      <c r="J2" s="28" t="str">
        <f>voltagedrop(B2,C2,D2,E2,F2,G2,H2,I2)</f>
        <v>1.13%</v>
      </c>
      <c r="M2" s="27">
        <v>208</v>
      </c>
      <c r="N2" s="27">
        <v>3</v>
      </c>
      <c r="O2" s="27">
        <v>300</v>
      </c>
      <c r="P2" s="27">
        <v>0.95</v>
      </c>
      <c r="Q2" s="27">
        <v>1</v>
      </c>
      <c r="R2" s="29" t="s">
        <v>47</v>
      </c>
      <c r="S2" s="27">
        <v>100</v>
      </c>
      <c r="T2" s="27" t="s">
        <v>28</v>
      </c>
      <c r="U2" s="28" t="str">
        <f>voltagedrop(M2,N2,O2,P2,Q2,R2,S2,T2)</f>
        <v>1.07%</v>
      </c>
      <c r="X2" s="27">
        <v>208</v>
      </c>
      <c r="Y2" s="27">
        <v>3</v>
      </c>
      <c r="Z2" s="27">
        <v>225</v>
      </c>
      <c r="AA2" s="27">
        <v>0.95</v>
      </c>
      <c r="AB2" s="27">
        <v>1</v>
      </c>
      <c r="AC2" s="29" t="s">
        <v>48</v>
      </c>
      <c r="AD2" s="27">
        <v>100</v>
      </c>
      <c r="AE2" s="27" t="s">
        <v>28</v>
      </c>
      <c r="AF2" s="28" t="str">
        <f>voltagedrop(X2,Y2,Z2,AA2,AB2,AC2,AD2,AE2)</f>
        <v>1.27%</v>
      </c>
      <c r="AI2" s="27">
        <v>208</v>
      </c>
      <c r="AJ2" s="27">
        <v>3</v>
      </c>
      <c r="AK2" s="27">
        <v>100</v>
      </c>
      <c r="AL2" s="27">
        <v>0.95</v>
      </c>
      <c r="AM2" s="27">
        <v>1</v>
      </c>
      <c r="AN2" s="29" t="s">
        <v>13</v>
      </c>
      <c r="AO2" s="27">
        <v>100</v>
      </c>
      <c r="AP2" s="27" t="s">
        <v>28</v>
      </c>
      <c r="AQ2" s="28" t="str">
        <f>voltagedrop(AI2,AJ2,AK2,AL2,AM2,AN2,AO2,AP2)</f>
        <v>0.93%</v>
      </c>
      <c r="AT2" s="27">
        <v>208</v>
      </c>
      <c r="AU2" s="27">
        <v>3</v>
      </c>
      <c r="AV2" s="27">
        <v>16</v>
      </c>
      <c r="AW2" s="27">
        <v>0.95</v>
      </c>
      <c r="AX2" s="27">
        <v>1</v>
      </c>
      <c r="AY2" s="29" t="s">
        <v>49</v>
      </c>
      <c r="AZ2" s="27">
        <v>100</v>
      </c>
      <c r="BA2" s="27" t="s">
        <v>28</v>
      </c>
      <c r="BB2" s="28" t="str">
        <f>voltagedrop(AT2,AU2,AV2,AW2,AX2,AY2,AZ2,BA2)</f>
        <v>2.56%</v>
      </c>
    </row>
    <row r="3" spans="2:54" x14ac:dyDescent="0.25">
      <c r="B3" s="27">
        <v>208</v>
      </c>
      <c r="C3" s="27">
        <v>3</v>
      </c>
      <c r="D3" s="27">
        <f>$D$2/E3</f>
        <v>388.88888888888886</v>
      </c>
      <c r="E3" s="27">
        <v>0.9</v>
      </c>
      <c r="F3" s="27">
        <v>1</v>
      </c>
      <c r="G3" s="29" t="s">
        <v>30</v>
      </c>
      <c r="H3" s="27">
        <v>100</v>
      </c>
      <c r="I3" s="27" t="s">
        <v>28</v>
      </c>
      <c r="J3" s="28" t="str">
        <f t="shared" ref="J3:J19" si="0">voltagedrop(B3,C3,D3,E3,F3,G3,H3,I3)</f>
        <v>1.41%</v>
      </c>
      <c r="M3" s="27">
        <v>208</v>
      </c>
      <c r="N3" s="27">
        <v>3</v>
      </c>
      <c r="O3" s="27">
        <f>$O$2/P3</f>
        <v>333.33333333333331</v>
      </c>
      <c r="P3" s="27">
        <v>0.9</v>
      </c>
      <c r="Q3" s="27">
        <v>1</v>
      </c>
      <c r="R3" s="29" t="s">
        <v>47</v>
      </c>
      <c r="S3" s="27">
        <v>100</v>
      </c>
      <c r="T3" s="27" t="s">
        <v>28</v>
      </c>
      <c r="U3" s="28" t="str">
        <f t="shared" ref="U3:U13" si="1">voltagedrop(M3,N3,O3,P3,Q3,R3,S3,T3)</f>
        <v>1.31%</v>
      </c>
      <c r="X3" s="27">
        <v>208</v>
      </c>
      <c r="Y3" s="27">
        <v>3</v>
      </c>
      <c r="Z3" s="27">
        <f>$Z$2/AA3</f>
        <v>250</v>
      </c>
      <c r="AA3" s="27">
        <v>0.9</v>
      </c>
      <c r="AB3" s="27">
        <v>1</v>
      </c>
      <c r="AC3" s="29" t="s">
        <v>48</v>
      </c>
      <c r="AD3" s="27">
        <v>100</v>
      </c>
      <c r="AE3" s="27" t="s">
        <v>28</v>
      </c>
      <c r="AF3" s="28" t="str">
        <f t="shared" ref="AF3:AF13" si="2">voltagedrop(X3,Y3,Z3,AA3,AB3,AC3,AD3,AE3)</f>
        <v>1.48%</v>
      </c>
      <c r="AI3" s="27">
        <v>208</v>
      </c>
      <c r="AJ3" s="27">
        <v>3</v>
      </c>
      <c r="AK3" s="27">
        <f>$AK$2/AL3</f>
        <v>111.11111111111111</v>
      </c>
      <c r="AL3" s="27">
        <v>0.9</v>
      </c>
      <c r="AM3" s="27">
        <v>1</v>
      </c>
      <c r="AN3" s="29" t="s">
        <v>13</v>
      </c>
      <c r="AO3" s="27">
        <v>100</v>
      </c>
      <c r="AP3" s="27" t="s">
        <v>28</v>
      </c>
      <c r="AQ3" s="28" t="str">
        <f t="shared" ref="AQ3:AQ13" si="3">voltagedrop(AI3,AJ3,AK3,AL3,AM3,AN3,AO3,AP3)</f>
        <v>1.05%</v>
      </c>
      <c r="AT3" s="27">
        <v>208</v>
      </c>
      <c r="AU3" s="27">
        <v>3</v>
      </c>
      <c r="AV3" s="27">
        <f>$AV$2/AW3</f>
        <v>17.777777777777779</v>
      </c>
      <c r="AW3" s="27">
        <v>0.9</v>
      </c>
      <c r="AX3" s="27">
        <v>1</v>
      </c>
      <c r="AY3" s="29" t="s">
        <v>49</v>
      </c>
      <c r="AZ3" s="27">
        <v>100</v>
      </c>
      <c r="BA3" s="27" t="s">
        <v>28</v>
      </c>
      <c r="BB3" s="28" t="str">
        <f t="shared" ref="BB3:BB13" si="4">voltagedrop(AT3,AU3,AV3,AW3,AX3,AY3,AZ3,BA3)</f>
        <v>2.71%</v>
      </c>
    </row>
    <row r="4" spans="2:54" x14ac:dyDescent="0.25">
      <c r="B4" s="27">
        <v>208</v>
      </c>
      <c r="C4" s="27">
        <v>3</v>
      </c>
      <c r="D4" s="27">
        <f t="shared" ref="D4:D19" si="5">$D$2/E4</f>
        <v>411.76470588235293</v>
      </c>
      <c r="E4" s="27">
        <v>0.85</v>
      </c>
      <c r="F4" s="27">
        <v>1</v>
      </c>
      <c r="G4" s="29" t="s">
        <v>30</v>
      </c>
      <c r="H4" s="27">
        <v>100</v>
      </c>
      <c r="I4" s="27" t="s">
        <v>28</v>
      </c>
      <c r="J4" s="28" t="str">
        <f t="shared" si="0"/>
        <v>1.60%</v>
      </c>
      <c r="M4" s="27">
        <v>208</v>
      </c>
      <c r="N4" s="27">
        <v>3</v>
      </c>
      <c r="O4" s="27">
        <f t="shared" ref="O4:O19" si="6">$O$2/P4</f>
        <v>352.94117647058823</v>
      </c>
      <c r="P4" s="27">
        <v>0.85</v>
      </c>
      <c r="Q4" s="27">
        <v>1</v>
      </c>
      <c r="R4" s="29" t="s">
        <v>47</v>
      </c>
      <c r="S4" s="27">
        <v>100</v>
      </c>
      <c r="T4" s="27" t="s">
        <v>28</v>
      </c>
      <c r="U4" s="28" t="str">
        <f t="shared" si="1"/>
        <v>1.47%</v>
      </c>
      <c r="X4" s="27">
        <v>208</v>
      </c>
      <c r="Y4" s="27">
        <v>3</v>
      </c>
      <c r="Z4" s="27">
        <f t="shared" ref="Z4:Z19" si="7">$Z$2/AA4</f>
        <v>264.70588235294116</v>
      </c>
      <c r="AA4" s="27">
        <v>0.85</v>
      </c>
      <c r="AB4" s="27">
        <v>1</v>
      </c>
      <c r="AC4" s="29" t="s">
        <v>48</v>
      </c>
      <c r="AD4" s="27">
        <v>100</v>
      </c>
      <c r="AE4" s="27" t="s">
        <v>28</v>
      </c>
      <c r="AF4" s="28" t="str">
        <f t="shared" si="2"/>
        <v>1.62%</v>
      </c>
      <c r="AI4" s="27">
        <v>208</v>
      </c>
      <c r="AJ4" s="27">
        <v>3</v>
      </c>
      <c r="AK4" s="27">
        <f t="shared" ref="AK4:AK19" si="8">$AK$2/AL4</f>
        <v>117.64705882352942</v>
      </c>
      <c r="AL4" s="27">
        <v>0.85</v>
      </c>
      <c r="AM4" s="27">
        <v>1</v>
      </c>
      <c r="AN4" s="29" t="s">
        <v>13</v>
      </c>
      <c r="AO4" s="27">
        <v>100</v>
      </c>
      <c r="AP4" s="27" t="s">
        <v>28</v>
      </c>
      <c r="AQ4" s="28" t="str">
        <f t="shared" si="3"/>
        <v>1.11%</v>
      </c>
      <c r="AT4" s="27">
        <v>208</v>
      </c>
      <c r="AU4" s="27">
        <v>3</v>
      </c>
      <c r="AV4" s="27">
        <f t="shared" ref="AV4:AV19" si="9">$AV$2/AW4</f>
        <v>18.823529411764707</v>
      </c>
      <c r="AW4" s="27">
        <v>0.85</v>
      </c>
      <c r="AX4" s="27">
        <v>1</v>
      </c>
      <c r="AY4" s="29" t="s">
        <v>49</v>
      </c>
      <c r="AZ4" s="27">
        <v>100</v>
      </c>
      <c r="BA4" s="27" t="s">
        <v>28</v>
      </c>
      <c r="BB4" s="28" t="str">
        <f t="shared" si="4"/>
        <v>2.73%</v>
      </c>
    </row>
    <row r="5" spans="2:54" x14ac:dyDescent="0.25">
      <c r="B5" s="27">
        <v>208</v>
      </c>
      <c r="C5" s="27">
        <v>3</v>
      </c>
      <c r="D5" s="27">
        <f t="shared" si="5"/>
        <v>437.5</v>
      </c>
      <c r="E5" s="27">
        <v>0.8</v>
      </c>
      <c r="F5" s="27">
        <v>1</v>
      </c>
      <c r="G5" s="29" t="s">
        <v>30</v>
      </c>
      <c r="H5" s="27">
        <v>100</v>
      </c>
      <c r="I5" s="27" t="s">
        <v>28</v>
      </c>
      <c r="J5" s="28" t="str">
        <f t="shared" si="0"/>
        <v>1.78%</v>
      </c>
      <c r="M5" s="27">
        <v>208</v>
      </c>
      <c r="N5" s="27">
        <v>3</v>
      </c>
      <c r="O5" s="27">
        <f t="shared" si="6"/>
        <v>375</v>
      </c>
      <c r="P5" s="27">
        <v>0.8</v>
      </c>
      <c r="Q5" s="27">
        <v>1</v>
      </c>
      <c r="R5" s="29" t="s">
        <v>47</v>
      </c>
      <c r="S5" s="27">
        <v>100</v>
      </c>
      <c r="T5" s="27" t="s">
        <v>28</v>
      </c>
      <c r="U5" s="28" t="str">
        <f t="shared" si="1"/>
        <v>1.63%</v>
      </c>
      <c r="X5" s="27">
        <v>208</v>
      </c>
      <c r="Y5" s="27">
        <v>3</v>
      </c>
      <c r="Z5" s="27">
        <f t="shared" si="7"/>
        <v>281.25</v>
      </c>
      <c r="AA5" s="27">
        <v>0.8</v>
      </c>
      <c r="AB5" s="27">
        <v>1</v>
      </c>
      <c r="AC5" s="29" t="s">
        <v>48</v>
      </c>
      <c r="AD5" s="27">
        <v>100</v>
      </c>
      <c r="AE5" s="27" t="s">
        <v>28</v>
      </c>
      <c r="AF5" s="28" t="str">
        <f t="shared" si="2"/>
        <v>1.74%</v>
      </c>
      <c r="AI5" s="27">
        <v>208</v>
      </c>
      <c r="AJ5" s="27">
        <v>3</v>
      </c>
      <c r="AK5" s="27">
        <f t="shared" si="8"/>
        <v>125</v>
      </c>
      <c r="AL5" s="27">
        <v>0.8</v>
      </c>
      <c r="AM5" s="27">
        <v>1</v>
      </c>
      <c r="AN5" s="29" t="s">
        <v>13</v>
      </c>
      <c r="AO5" s="27">
        <v>100</v>
      </c>
      <c r="AP5" s="27" t="s">
        <v>28</v>
      </c>
      <c r="AQ5" s="28" t="str">
        <f t="shared" si="3"/>
        <v>1.17%</v>
      </c>
      <c r="AT5" s="27">
        <v>208</v>
      </c>
      <c r="AU5" s="27">
        <v>3</v>
      </c>
      <c r="AV5" s="27">
        <f t="shared" si="9"/>
        <v>20</v>
      </c>
      <c r="AW5" s="27">
        <v>0.8</v>
      </c>
      <c r="AX5" s="27">
        <v>1</v>
      </c>
      <c r="AY5" s="29" t="s">
        <v>49</v>
      </c>
      <c r="AZ5" s="27">
        <v>100</v>
      </c>
      <c r="BA5" s="27" t="s">
        <v>28</v>
      </c>
      <c r="BB5" s="28" t="str">
        <f t="shared" si="4"/>
        <v>2.74%</v>
      </c>
    </row>
    <row r="6" spans="2:54" x14ac:dyDescent="0.25">
      <c r="B6" s="27">
        <v>208</v>
      </c>
      <c r="C6" s="27">
        <v>3</v>
      </c>
      <c r="D6" s="27">
        <f t="shared" si="5"/>
        <v>466.66666666666669</v>
      </c>
      <c r="E6" s="27">
        <v>0.75</v>
      </c>
      <c r="F6" s="27">
        <v>1</v>
      </c>
      <c r="G6" s="29" t="s">
        <v>30</v>
      </c>
      <c r="H6" s="27">
        <v>100</v>
      </c>
      <c r="I6" s="27" t="s">
        <v>28</v>
      </c>
      <c r="J6" s="28" t="str">
        <f t="shared" si="0"/>
        <v>1.96%</v>
      </c>
      <c r="M6" s="27">
        <v>208</v>
      </c>
      <c r="N6" s="27">
        <v>3</v>
      </c>
      <c r="O6" s="27">
        <f t="shared" si="6"/>
        <v>400</v>
      </c>
      <c r="P6" s="27">
        <v>0.75</v>
      </c>
      <c r="Q6" s="27">
        <v>1</v>
      </c>
      <c r="R6" s="29" t="s">
        <v>47</v>
      </c>
      <c r="S6" s="27">
        <v>100</v>
      </c>
      <c r="T6" s="27" t="s">
        <v>28</v>
      </c>
      <c r="U6" s="28" t="str">
        <f t="shared" si="1"/>
        <v>1.78%</v>
      </c>
      <c r="X6" s="27">
        <v>208</v>
      </c>
      <c r="Y6" s="27">
        <v>3</v>
      </c>
      <c r="Z6" s="27">
        <f t="shared" si="7"/>
        <v>300</v>
      </c>
      <c r="AA6" s="27">
        <v>0.75</v>
      </c>
      <c r="AB6" s="27">
        <v>1</v>
      </c>
      <c r="AC6" s="29" t="s">
        <v>48</v>
      </c>
      <c r="AD6" s="27">
        <v>100</v>
      </c>
      <c r="AE6" s="27" t="s">
        <v>28</v>
      </c>
      <c r="AF6" s="28" t="str">
        <f t="shared" si="2"/>
        <v>1.87%</v>
      </c>
      <c r="AI6" s="27">
        <v>208</v>
      </c>
      <c r="AJ6" s="27">
        <v>3</v>
      </c>
      <c r="AK6" s="27">
        <f t="shared" si="8"/>
        <v>133.33333333333334</v>
      </c>
      <c r="AL6" s="27">
        <v>0.75</v>
      </c>
      <c r="AM6" s="27">
        <v>1</v>
      </c>
      <c r="AN6" s="29" t="s">
        <v>13</v>
      </c>
      <c r="AO6" s="27">
        <v>100</v>
      </c>
      <c r="AP6" s="27" t="s">
        <v>28</v>
      </c>
      <c r="AQ6" s="28" t="str">
        <f t="shared" si="3"/>
        <v>1.23%</v>
      </c>
      <c r="AT6" s="27">
        <v>208</v>
      </c>
      <c r="AU6" s="27">
        <v>3</v>
      </c>
      <c r="AV6" s="27">
        <f t="shared" si="9"/>
        <v>21.333333333333332</v>
      </c>
      <c r="AW6" s="27">
        <v>0.75</v>
      </c>
      <c r="AX6" s="27">
        <v>1</v>
      </c>
      <c r="AY6" s="29" t="s">
        <v>49</v>
      </c>
      <c r="AZ6" s="27">
        <v>100</v>
      </c>
      <c r="BA6" s="27" t="s">
        <v>28</v>
      </c>
      <c r="BB6" s="28" t="str">
        <f t="shared" si="4"/>
        <v>2.76%</v>
      </c>
    </row>
    <row r="7" spans="2:54" x14ac:dyDescent="0.25">
      <c r="B7" s="27">
        <v>208</v>
      </c>
      <c r="C7" s="27">
        <v>3</v>
      </c>
      <c r="D7" s="27">
        <f t="shared" si="5"/>
        <v>500.00000000000006</v>
      </c>
      <c r="E7" s="27">
        <v>0.7</v>
      </c>
      <c r="F7" s="27">
        <v>1</v>
      </c>
      <c r="G7" s="29" t="s">
        <v>30</v>
      </c>
      <c r="H7" s="27">
        <v>100</v>
      </c>
      <c r="I7" s="27" t="s">
        <v>28</v>
      </c>
      <c r="J7" s="28" t="str">
        <f t="shared" si="0"/>
        <v>2.16%</v>
      </c>
      <c r="M7" s="27">
        <v>208</v>
      </c>
      <c r="N7" s="27">
        <v>3</v>
      </c>
      <c r="O7" s="27">
        <f t="shared" si="6"/>
        <v>428.57142857142861</v>
      </c>
      <c r="P7" s="27">
        <v>0.7</v>
      </c>
      <c r="Q7" s="27">
        <v>1</v>
      </c>
      <c r="R7" s="29" t="s">
        <v>47</v>
      </c>
      <c r="S7" s="27">
        <v>100</v>
      </c>
      <c r="T7" s="27" t="s">
        <v>28</v>
      </c>
      <c r="U7" s="28" t="str">
        <f t="shared" si="1"/>
        <v>1.95%</v>
      </c>
      <c r="X7" s="27">
        <v>208</v>
      </c>
      <c r="Y7" s="27">
        <v>3</v>
      </c>
      <c r="Z7" s="27">
        <f t="shared" si="7"/>
        <v>321.42857142857144</v>
      </c>
      <c r="AA7" s="27">
        <v>0.7</v>
      </c>
      <c r="AB7" s="27">
        <v>1</v>
      </c>
      <c r="AC7" s="29" t="s">
        <v>48</v>
      </c>
      <c r="AD7" s="27">
        <v>100</v>
      </c>
      <c r="AE7" s="27" t="s">
        <v>28</v>
      </c>
      <c r="AF7" s="28" t="str">
        <f t="shared" si="2"/>
        <v>2.01%</v>
      </c>
      <c r="AI7" s="27">
        <v>208</v>
      </c>
      <c r="AJ7" s="27">
        <v>3</v>
      </c>
      <c r="AK7" s="27">
        <f t="shared" si="8"/>
        <v>142.85714285714286</v>
      </c>
      <c r="AL7" s="27">
        <v>0.7</v>
      </c>
      <c r="AM7" s="27">
        <v>1</v>
      </c>
      <c r="AN7" s="29" t="s">
        <v>13</v>
      </c>
      <c r="AO7" s="27">
        <v>100</v>
      </c>
      <c r="AP7" s="27" t="s">
        <v>28</v>
      </c>
      <c r="AQ7" s="28" t="str">
        <f t="shared" si="3"/>
        <v>1.29%</v>
      </c>
      <c r="AT7" s="27">
        <v>208</v>
      </c>
      <c r="AU7" s="27">
        <v>3</v>
      </c>
      <c r="AV7" s="27">
        <f t="shared" si="9"/>
        <v>22.857142857142858</v>
      </c>
      <c r="AW7" s="27">
        <v>0.7</v>
      </c>
      <c r="AX7" s="27">
        <v>1</v>
      </c>
      <c r="AY7" s="29" t="s">
        <v>49</v>
      </c>
      <c r="AZ7" s="27">
        <v>100</v>
      </c>
      <c r="BA7" s="27" t="s">
        <v>28</v>
      </c>
      <c r="BB7" s="28" t="str">
        <f t="shared" si="4"/>
        <v>2.78%</v>
      </c>
    </row>
    <row r="8" spans="2:54" x14ac:dyDescent="0.25">
      <c r="B8" s="27">
        <v>208</v>
      </c>
      <c r="C8" s="27">
        <v>3</v>
      </c>
      <c r="D8" s="27">
        <f t="shared" si="5"/>
        <v>538.46153846153845</v>
      </c>
      <c r="E8" s="27">
        <v>0.65</v>
      </c>
      <c r="F8" s="27">
        <v>1</v>
      </c>
      <c r="G8" s="29" t="s">
        <v>30</v>
      </c>
      <c r="H8" s="27">
        <v>100</v>
      </c>
      <c r="I8" s="27" t="s">
        <v>28</v>
      </c>
      <c r="J8" s="28" t="str">
        <f t="shared" si="0"/>
        <v>2.37%</v>
      </c>
      <c r="M8" s="27">
        <v>208</v>
      </c>
      <c r="N8" s="27">
        <v>3</v>
      </c>
      <c r="O8" s="27">
        <f t="shared" si="6"/>
        <v>461.53846153846155</v>
      </c>
      <c r="P8" s="27">
        <v>0.65</v>
      </c>
      <c r="Q8" s="27">
        <v>1</v>
      </c>
      <c r="R8" s="29" t="s">
        <v>47</v>
      </c>
      <c r="S8" s="27">
        <v>100</v>
      </c>
      <c r="T8" s="27" t="s">
        <v>28</v>
      </c>
      <c r="U8" s="28" t="str">
        <f t="shared" si="1"/>
        <v>2.13%</v>
      </c>
      <c r="X8" s="27">
        <v>208</v>
      </c>
      <c r="Y8" s="27">
        <v>3</v>
      </c>
      <c r="Z8" s="27">
        <f t="shared" si="7"/>
        <v>346.15384615384613</v>
      </c>
      <c r="AA8" s="27">
        <v>0.65</v>
      </c>
      <c r="AB8" s="27">
        <v>1</v>
      </c>
      <c r="AC8" s="29" t="s">
        <v>48</v>
      </c>
      <c r="AD8" s="27">
        <v>100</v>
      </c>
      <c r="AE8" s="27" t="s">
        <v>28</v>
      </c>
      <c r="AF8" s="28" t="str">
        <f t="shared" si="2"/>
        <v>2.15%</v>
      </c>
      <c r="AI8" s="27">
        <v>208</v>
      </c>
      <c r="AJ8" s="27">
        <v>3</v>
      </c>
      <c r="AK8" s="27">
        <f t="shared" si="8"/>
        <v>153.84615384615384</v>
      </c>
      <c r="AL8" s="27">
        <v>0.65</v>
      </c>
      <c r="AM8" s="27">
        <v>1</v>
      </c>
      <c r="AN8" s="29" t="s">
        <v>13</v>
      </c>
      <c r="AO8" s="27">
        <v>100</v>
      </c>
      <c r="AP8" s="27" t="s">
        <v>28</v>
      </c>
      <c r="AQ8" s="28" t="str">
        <f t="shared" si="3"/>
        <v>1.36%</v>
      </c>
      <c r="AT8" s="27">
        <v>208</v>
      </c>
      <c r="AU8" s="27">
        <v>3</v>
      </c>
      <c r="AV8" s="27">
        <f t="shared" si="9"/>
        <v>24.615384615384613</v>
      </c>
      <c r="AW8" s="27">
        <v>0.65</v>
      </c>
      <c r="AX8" s="27">
        <v>1</v>
      </c>
      <c r="AY8" s="29" t="s">
        <v>49</v>
      </c>
      <c r="AZ8" s="27">
        <v>100</v>
      </c>
      <c r="BA8" s="27" t="s">
        <v>28</v>
      </c>
      <c r="BB8" s="28" t="str">
        <f t="shared" si="4"/>
        <v>2.80%</v>
      </c>
    </row>
    <row r="9" spans="2:54" x14ac:dyDescent="0.25">
      <c r="B9" s="27">
        <v>208</v>
      </c>
      <c r="C9" s="27">
        <v>3</v>
      </c>
      <c r="D9" s="27">
        <f t="shared" si="5"/>
        <v>583.33333333333337</v>
      </c>
      <c r="E9" s="27">
        <v>0.6</v>
      </c>
      <c r="F9" s="27">
        <v>1</v>
      </c>
      <c r="G9" s="29" t="s">
        <v>30</v>
      </c>
      <c r="H9" s="27">
        <v>100</v>
      </c>
      <c r="I9" s="27" t="s">
        <v>28</v>
      </c>
      <c r="J9" s="28" t="str">
        <f t="shared" si="0"/>
        <v>2.59%</v>
      </c>
      <c r="M9" s="27">
        <v>208</v>
      </c>
      <c r="N9" s="27">
        <v>3</v>
      </c>
      <c r="O9" s="27">
        <f t="shared" si="6"/>
        <v>500</v>
      </c>
      <c r="P9" s="27">
        <v>0.6</v>
      </c>
      <c r="Q9" s="27">
        <v>1</v>
      </c>
      <c r="R9" s="29" t="s">
        <v>47</v>
      </c>
      <c r="S9" s="27">
        <v>100</v>
      </c>
      <c r="T9" s="27" t="s">
        <v>28</v>
      </c>
      <c r="U9" s="28" t="str">
        <f t="shared" si="1"/>
        <v>2.32%</v>
      </c>
      <c r="X9" s="27">
        <v>208</v>
      </c>
      <c r="Y9" s="27">
        <v>3</v>
      </c>
      <c r="Z9" s="27">
        <f t="shared" si="7"/>
        <v>375</v>
      </c>
      <c r="AA9" s="27">
        <v>0.6</v>
      </c>
      <c r="AB9" s="27">
        <v>1</v>
      </c>
      <c r="AC9" s="29" t="s">
        <v>48</v>
      </c>
      <c r="AD9" s="27">
        <v>100</v>
      </c>
      <c r="AE9" s="27" t="s">
        <v>28</v>
      </c>
      <c r="AF9" s="28" t="str">
        <f t="shared" si="2"/>
        <v>2.31%</v>
      </c>
      <c r="AI9" s="27">
        <v>208</v>
      </c>
      <c r="AJ9" s="27">
        <v>3</v>
      </c>
      <c r="AK9" s="27">
        <f t="shared" si="8"/>
        <v>166.66666666666669</v>
      </c>
      <c r="AL9" s="27">
        <v>0.6</v>
      </c>
      <c r="AM9" s="27">
        <v>1</v>
      </c>
      <c r="AN9" s="29" t="s">
        <v>13</v>
      </c>
      <c r="AO9" s="27">
        <v>100</v>
      </c>
      <c r="AP9" s="27" t="s">
        <v>28</v>
      </c>
      <c r="AQ9" s="28" t="str">
        <f t="shared" si="3"/>
        <v>1.43%</v>
      </c>
      <c r="AT9" s="27">
        <v>208</v>
      </c>
      <c r="AU9" s="27">
        <v>3</v>
      </c>
      <c r="AV9" s="27">
        <f t="shared" si="9"/>
        <v>26.666666666666668</v>
      </c>
      <c r="AW9" s="27">
        <v>0.6</v>
      </c>
      <c r="AX9" s="27">
        <v>1</v>
      </c>
      <c r="AY9" s="29" t="s">
        <v>49</v>
      </c>
      <c r="AZ9" s="27">
        <v>100</v>
      </c>
      <c r="BA9" s="27" t="s">
        <v>28</v>
      </c>
      <c r="BB9" s="28" t="str">
        <f t="shared" si="4"/>
        <v>2.82%</v>
      </c>
    </row>
    <row r="10" spans="2:54" x14ac:dyDescent="0.25">
      <c r="B10" s="27">
        <v>208</v>
      </c>
      <c r="C10" s="27">
        <v>3</v>
      </c>
      <c r="D10" s="27">
        <f t="shared" si="5"/>
        <v>636.36363636363512</v>
      </c>
      <c r="E10" s="27">
        <v>0.55000000000000104</v>
      </c>
      <c r="F10" s="27">
        <v>1</v>
      </c>
      <c r="G10" s="29" t="s">
        <v>30</v>
      </c>
      <c r="H10" s="27">
        <v>100</v>
      </c>
      <c r="I10" s="27" t="s">
        <v>28</v>
      </c>
      <c r="J10" s="28" t="str">
        <f t="shared" si="0"/>
        <v>2.85%</v>
      </c>
      <c r="M10" s="27">
        <v>208</v>
      </c>
      <c r="N10" s="27">
        <v>3</v>
      </c>
      <c r="O10" s="27">
        <f t="shared" si="6"/>
        <v>545.45454545454447</v>
      </c>
      <c r="P10" s="27">
        <v>0.55000000000000104</v>
      </c>
      <c r="Q10" s="27">
        <v>1</v>
      </c>
      <c r="R10" s="29" t="s">
        <v>47</v>
      </c>
      <c r="S10" s="27">
        <v>100</v>
      </c>
      <c r="T10" s="27" t="s">
        <v>28</v>
      </c>
      <c r="U10" s="28" t="str">
        <f t="shared" si="1"/>
        <v>2.55%</v>
      </c>
      <c r="X10" s="27">
        <v>208</v>
      </c>
      <c r="Y10" s="27">
        <v>3</v>
      </c>
      <c r="Z10" s="27">
        <f t="shared" si="7"/>
        <v>409.09090909090833</v>
      </c>
      <c r="AA10" s="27">
        <v>0.55000000000000104</v>
      </c>
      <c r="AB10" s="27">
        <v>1</v>
      </c>
      <c r="AC10" s="29" t="s">
        <v>48</v>
      </c>
      <c r="AD10" s="27">
        <v>100</v>
      </c>
      <c r="AE10" s="27" t="s">
        <v>28</v>
      </c>
      <c r="AF10" s="28" t="str">
        <f t="shared" si="2"/>
        <v>2.49%</v>
      </c>
      <c r="AI10" s="27">
        <v>208</v>
      </c>
      <c r="AJ10" s="27">
        <v>3</v>
      </c>
      <c r="AK10" s="27">
        <f t="shared" si="8"/>
        <v>181.81818181818147</v>
      </c>
      <c r="AL10" s="27">
        <v>0.55000000000000104</v>
      </c>
      <c r="AM10" s="27">
        <v>1</v>
      </c>
      <c r="AN10" s="29" t="s">
        <v>13</v>
      </c>
      <c r="AO10" s="27">
        <v>100</v>
      </c>
      <c r="AP10" s="27" t="s">
        <v>28</v>
      </c>
      <c r="AQ10" s="28" t="str">
        <f t="shared" si="3"/>
        <v>1.52%</v>
      </c>
      <c r="AT10" s="27">
        <v>208</v>
      </c>
      <c r="AU10" s="27">
        <v>3</v>
      </c>
      <c r="AV10" s="27">
        <f t="shared" si="9"/>
        <v>29.090909090909037</v>
      </c>
      <c r="AW10" s="27">
        <v>0.55000000000000104</v>
      </c>
      <c r="AX10" s="27">
        <v>1</v>
      </c>
      <c r="AY10" s="29" t="s">
        <v>49</v>
      </c>
      <c r="AZ10" s="27">
        <v>100</v>
      </c>
      <c r="BA10" s="27" t="s">
        <v>28</v>
      </c>
      <c r="BB10" s="28" t="str">
        <f t="shared" si="4"/>
        <v>2.85%</v>
      </c>
    </row>
    <row r="11" spans="2:54" x14ac:dyDescent="0.25">
      <c r="B11" s="27">
        <v>208</v>
      </c>
      <c r="C11" s="27">
        <v>3</v>
      </c>
      <c r="D11" s="27">
        <f t="shared" si="5"/>
        <v>699.99999999999864</v>
      </c>
      <c r="E11" s="27">
        <v>0.500000000000001</v>
      </c>
      <c r="F11" s="27">
        <v>1</v>
      </c>
      <c r="G11" s="29" t="s">
        <v>30</v>
      </c>
      <c r="H11" s="27">
        <v>100</v>
      </c>
      <c r="I11" s="27" t="s">
        <v>28</v>
      </c>
      <c r="J11" s="28" t="str">
        <f t="shared" si="0"/>
        <v>3.15%</v>
      </c>
      <c r="M11" s="27">
        <v>208</v>
      </c>
      <c r="N11" s="27">
        <v>3</v>
      </c>
      <c r="O11" s="27">
        <f t="shared" si="6"/>
        <v>599.99999999999875</v>
      </c>
      <c r="P11" s="27">
        <v>0.500000000000001</v>
      </c>
      <c r="Q11" s="27">
        <v>1</v>
      </c>
      <c r="R11" s="29" t="s">
        <v>47</v>
      </c>
      <c r="S11" s="27">
        <v>100</v>
      </c>
      <c r="T11" s="27" t="s">
        <v>28</v>
      </c>
      <c r="U11" s="28" t="str">
        <f t="shared" si="1"/>
        <v>2.80%</v>
      </c>
      <c r="X11" s="27">
        <v>208</v>
      </c>
      <c r="Y11" s="27">
        <v>3</v>
      </c>
      <c r="Z11" s="27">
        <f t="shared" si="7"/>
        <v>449.99999999999909</v>
      </c>
      <c r="AA11" s="27">
        <v>0.500000000000001</v>
      </c>
      <c r="AB11" s="27">
        <v>1</v>
      </c>
      <c r="AC11" s="29" t="s">
        <v>48</v>
      </c>
      <c r="AD11" s="27">
        <v>100</v>
      </c>
      <c r="AE11" s="27" t="s">
        <v>28</v>
      </c>
      <c r="AF11" s="28" t="str">
        <f t="shared" si="2"/>
        <v>2.70%</v>
      </c>
      <c r="AI11" s="27">
        <v>208</v>
      </c>
      <c r="AJ11" s="27">
        <v>3</v>
      </c>
      <c r="AK11" s="27">
        <f t="shared" si="8"/>
        <v>199.9999999999996</v>
      </c>
      <c r="AL11" s="27">
        <v>0.500000000000001</v>
      </c>
      <c r="AM11" s="27">
        <v>1</v>
      </c>
      <c r="AN11" s="29" t="s">
        <v>13</v>
      </c>
      <c r="AO11" s="27">
        <v>100</v>
      </c>
      <c r="AP11" s="27" t="s">
        <v>28</v>
      </c>
      <c r="AQ11" s="28" t="str">
        <f t="shared" si="3"/>
        <v>1.61%</v>
      </c>
      <c r="AT11" s="27">
        <v>208</v>
      </c>
      <c r="AU11" s="27">
        <v>3</v>
      </c>
      <c r="AV11" s="27">
        <f t="shared" si="9"/>
        <v>31.999999999999936</v>
      </c>
      <c r="AW11" s="27">
        <v>0.500000000000001</v>
      </c>
      <c r="AX11" s="27">
        <v>1</v>
      </c>
      <c r="AY11" s="29" t="s">
        <v>49</v>
      </c>
      <c r="AZ11" s="27">
        <v>100</v>
      </c>
      <c r="BA11" s="27" t="s">
        <v>28</v>
      </c>
      <c r="BB11" s="28" t="str">
        <f t="shared" si="4"/>
        <v>2.88%</v>
      </c>
    </row>
    <row r="12" spans="2:54" x14ac:dyDescent="0.25">
      <c r="B12" s="27">
        <v>208</v>
      </c>
      <c r="C12" s="27">
        <v>3</v>
      </c>
      <c r="D12" s="27">
        <f t="shared" si="5"/>
        <v>777.77777777777601</v>
      </c>
      <c r="E12" s="27">
        <v>0.45000000000000101</v>
      </c>
      <c r="F12" s="27">
        <v>1</v>
      </c>
      <c r="G12" s="29" t="s">
        <v>30</v>
      </c>
      <c r="H12" s="27">
        <v>100</v>
      </c>
      <c r="I12" s="27" t="s">
        <v>28</v>
      </c>
      <c r="J12" s="28" t="str">
        <f t="shared" si="0"/>
        <v>3.50%</v>
      </c>
      <c r="M12" s="27">
        <v>208</v>
      </c>
      <c r="N12" s="27">
        <v>3</v>
      </c>
      <c r="O12" s="27">
        <f t="shared" si="6"/>
        <v>666.66666666666515</v>
      </c>
      <c r="P12" s="27">
        <v>0.45000000000000101</v>
      </c>
      <c r="Q12" s="27">
        <v>1</v>
      </c>
      <c r="R12" s="29" t="s">
        <v>47</v>
      </c>
      <c r="S12" s="27">
        <v>100</v>
      </c>
      <c r="T12" s="27" t="s">
        <v>28</v>
      </c>
      <c r="U12" s="28" t="str">
        <f t="shared" si="1"/>
        <v>3.10%</v>
      </c>
      <c r="X12" s="27">
        <v>208</v>
      </c>
      <c r="Y12" s="27">
        <v>3</v>
      </c>
      <c r="Z12" s="27">
        <f t="shared" si="7"/>
        <v>499.99999999999886</v>
      </c>
      <c r="AA12" s="27">
        <v>0.45000000000000101</v>
      </c>
      <c r="AB12" s="27">
        <v>1</v>
      </c>
      <c r="AC12" s="29" t="s">
        <v>48</v>
      </c>
      <c r="AD12" s="27">
        <v>100</v>
      </c>
      <c r="AE12" s="27" t="s">
        <v>28</v>
      </c>
      <c r="AF12" s="28" t="str">
        <f t="shared" si="2"/>
        <v>2.95%</v>
      </c>
      <c r="AI12" s="27">
        <v>208</v>
      </c>
      <c r="AJ12" s="27">
        <v>3</v>
      </c>
      <c r="AK12" s="27">
        <f t="shared" si="8"/>
        <v>222.22222222222172</v>
      </c>
      <c r="AL12" s="27">
        <v>0.45000000000000101</v>
      </c>
      <c r="AM12" s="27">
        <v>1</v>
      </c>
      <c r="AN12" s="29" t="s">
        <v>13</v>
      </c>
      <c r="AO12" s="27">
        <v>100</v>
      </c>
      <c r="AP12" s="27" t="s">
        <v>28</v>
      </c>
      <c r="AQ12" s="28" t="str">
        <f t="shared" si="3"/>
        <v>1.73%</v>
      </c>
      <c r="AT12" s="27">
        <v>208</v>
      </c>
      <c r="AU12" s="27">
        <v>3</v>
      </c>
      <c r="AV12" s="27">
        <f t="shared" si="9"/>
        <v>35.555555555555479</v>
      </c>
      <c r="AW12" s="27">
        <v>0.45000000000000101</v>
      </c>
      <c r="AX12" s="27">
        <v>1</v>
      </c>
      <c r="AY12" s="29" t="s">
        <v>49</v>
      </c>
      <c r="AZ12" s="27">
        <v>100</v>
      </c>
      <c r="BA12" s="27" t="s">
        <v>28</v>
      </c>
      <c r="BB12" s="28" t="str">
        <f t="shared" si="4"/>
        <v>2.92%</v>
      </c>
    </row>
    <row r="13" spans="2:54" x14ac:dyDescent="0.25">
      <c r="B13" s="27">
        <v>208</v>
      </c>
      <c r="C13" s="27">
        <v>3</v>
      </c>
      <c r="D13" s="27">
        <f t="shared" si="5"/>
        <v>874.99999999999773</v>
      </c>
      <c r="E13" s="27">
        <v>0.40000000000000102</v>
      </c>
      <c r="F13" s="27">
        <v>1</v>
      </c>
      <c r="G13" s="29" t="s">
        <v>30</v>
      </c>
      <c r="H13" s="27">
        <v>100</v>
      </c>
      <c r="I13" s="27" t="s">
        <v>28</v>
      </c>
      <c r="J13" s="28" t="str">
        <f t="shared" si="0"/>
        <v>3.93%</v>
      </c>
      <c r="M13" s="27">
        <v>208</v>
      </c>
      <c r="N13" s="27">
        <v>3</v>
      </c>
      <c r="O13" s="27">
        <f t="shared" si="6"/>
        <v>749.99999999999807</v>
      </c>
      <c r="P13" s="27">
        <v>0.40000000000000102</v>
      </c>
      <c r="Q13" s="27">
        <v>1</v>
      </c>
      <c r="R13" s="29" t="s">
        <v>47</v>
      </c>
      <c r="S13" s="27">
        <v>100</v>
      </c>
      <c r="T13" s="27" t="s">
        <v>28</v>
      </c>
      <c r="U13" s="28" t="str">
        <f t="shared" si="1"/>
        <v>3.47%</v>
      </c>
      <c r="X13" s="27">
        <v>208</v>
      </c>
      <c r="Y13" s="27">
        <v>3</v>
      </c>
      <c r="Z13" s="27">
        <f t="shared" si="7"/>
        <v>562.49999999999852</v>
      </c>
      <c r="AA13" s="27">
        <v>0.40000000000000102</v>
      </c>
      <c r="AB13" s="27">
        <v>1</v>
      </c>
      <c r="AC13" s="29" t="s">
        <v>48</v>
      </c>
      <c r="AD13" s="27">
        <v>100</v>
      </c>
      <c r="AE13" s="27" t="s">
        <v>28</v>
      </c>
      <c r="AF13" s="28" t="str">
        <f t="shared" si="2"/>
        <v>3.25%</v>
      </c>
      <c r="AI13" s="27">
        <v>208</v>
      </c>
      <c r="AJ13" s="27">
        <v>3</v>
      </c>
      <c r="AK13" s="27">
        <f t="shared" si="8"/>
        <v>249.99999999999937</v>
      </c>
      <c r="AL13" s="27">
        <v>0.40000000000000102</v>
      </c>
      <c r="AM13" s="27">
        <v>1</v>
      </c>
      <c r="AN13" s="29" t="s">
        <v>13</v>
      </c>
      <c r="AO13" s="27">
        <v>100</v>
      </c>
      <c r="AP13" s="27" t="s">
        <v>28</v>
      </c>
      <c r="AQ13" s="28" t="str">
        <f t="shared" si="3"/>
        <v>1.87%</v>
      </c>
      <c r="AT13" s="27">
        <v>208</v>
      </c>
      <c r="AU13" s="27">
        <v>3</v>
      </c>
      <c r="AV13" s="27">
        <f t="shared" si="9"/>
        <v>39.999999999999901</v>
      </c>
      <c r="AW13" s="27">
        <v>0.40000000000000102</v>
      </c>
      <c r="AX13" s="27">
        <v>1</v>
      </c>
      <c r="AY13" s="29" t="s">
        <v>49</v>
      </c>
      <c r="AZ13" s="27">
        <v>100</v>
      </c>
      <c r="BA13" s="27" t="s">
        <v>28</v>
      </c>
      <c r="BB13" s="28" t="str">
        <f t="shared" si="4"/>
        <v>2.98%</v>
      </c>
    </row>
    <row r="14" spans="2:54" x14ac:dyDescent="0.25">
      <c r="B14" s="27">
        <v>208</v>
      </c>
      <c r="C14" s="27">
        <v>3</v>
      </c>
      <c r="D14" s="27">
        <f t="shared" si="5"/>
        <v>999.99999999999716</v>
      </c>
      <c r="E14" s="27">
        <v>0.35000000000000098</v>
      </c>
      <c r="F14" s="27">
        <v>1</v>
      </c>
      <c r="G14" s="29" t="s">
        <v>30</v>
      </c>
      <c r="H14" s="27">
        <v>100</v>
      </c>
      <c r="I14" s="27" t="s">
        <v>28</v>
      </c>
      <c r="J14" s="28" t="str">
        <f>voltagedrop(B14,C14,D14,E14,F14,G14,H14,I14)</f>
        <v>4.47%</v>
      </c>
      <c r="M14" s="27">
        <v>208</v>
      </c>
      <c r="N14" s="27">
        <v>3</v>
      </c>
      <c r="O14" s="27">
        <f t="shared" si="6"/>
        <v>857.14285714285472</v>
      </c>
      <c r="P14" s="27">
        <v>0.35000000000000098</v>
      </c>
      <c r="Q14" s="27">
        <v>1</v>
      </c>
      <c r="R14" s="29" t="s">
        <v>47</v>
      </c>
      <c r="S14" s="27">
        <v>100</v>
      </c>
      <c r="T14" s="27" t="s">
        <v>28</v>
      </c>
      <c r="U14" s="28" t="str">
        <f>voltagedrop(M14,N14,O14,P14,Q14,R14,S14,T14)</f>
        <v>3.94%</v>
      </c>
      <c r="X14" s="27">
        <v>208</v>
      </c>
      <c r="Y14" s="27">
        <v>3</v>
      </c>
      <c r="Z14" s="27">
        <f t="shared" si="7"/>
        <v>642.85714285714107</v>
      </c>
      <c r="AA14" s="27">
        <v>0.35000000000000098</v>
      </c>
      <c r="AB14" s="27">
        <v>1</v>
      </c>
      <c r="AC14" s="29" t="s">
        <v>48</v>
      </c>
      <c r="AD14" s="27">
        <v>100</v>
      </c>
      <c r="AE14" s="27" t="s">
        <v>28</v>
      </c>
      <c r="AF14" s="28" t="str">
        <f>voltagedrop(X14,Y14,Z14,AA14,AB14,AC14,AD14,AE14)</f>
        <v>3.63%</v>
      </c>
      <c r="AI14" s="27">
        <v>208</v>
      </c>
      <c r="AJ14" s="27">
        <v>3</v>
      </c>
      <c r="AK14" s="27">
        <f t="shared" si="8"/>
        <v>285.71428571428493</v>
      </c>
      <c r="AL14" s="27">
        <v>0.35000000000000098</v>
      </c>
      <c r="AM14" s="27">
        <v>1</v>
      </c>
      <c r="AN14" s="29" t="s">
        <v>13</v>
      </c>
      <c r="AO14" s="27">
        <v>100</v>
      </c>
      <c r="AP14" s="27" t="s">
        <v>28</v>
      </c>
      <c r="AQ14" s="28" t="str">
        <f>voltagedrop(AI14,AJ14,AK14,AL14,AM14,AN14,AO14,AP14)</f>
        <v>2.05%</v>
      </c>
      <c r="AT14" s="27">
        <v>208</v>
      </c>
      <c r="AU14" s="27">
        <v>3</v>
      </c>
      <c r="AV14" s="27">
        <f t="shared" si="9"/>
        <v>45.714285714285587</v>
      </c>
      <c r="AW14" s="27">
        <v>0.35000000000000098</v>
      </c>
      <c r="AX14" s="27">
        <v>1</v>
      </c>
      <c r="AY14" s="29" t="s">
        <v>49</v>
      </c>
      <c r="AZ14" s="27">
        <v>100</v>
      </c>
      <c r="BA14" s="27" t="s">
        <v>28</v>
      </c>
      <c r="BB14" s="28" t="str">
        <f>voltagedrop(AT14,AU14,AV14,AW14,AX14,AY14,AZ14,BA14)</f>
        <v>3.05%</v>
      </c>
    </row>
    <row r="15" spans="2:54" x14ac:dyDescent="0.25">
      <c r="B15" s="27">
        <v>208</v>
      </c>
      <c r="C15" s="27">
        <v>3</v>
      </c>
      <c r="D15" s="27">
        <f t="shared" si="5"/>
        <v>1166.6666666666629</v>
      </c>
      <c r="E15" s="27">
        <v>0.30000000000000099</v>
      </c>
      <c r="F15" s="27">
        <v>1</v>
      </c>
      <c r="G15" s="29" t="s">
        <v>30</v>
      </c>
      <c r="H15" s="27">
        <v>100</v>
      </c>
      <c r="I15" s="27" t="s">
        <v>28</v>
      </c>
      <c r="J15" s="28" t="str">
        <f>voltagedrop(B15,C15,D15,E15,F15,G15,H15,I15)</f>
        <v>5.18%</v>
      </c>
      <c r="M15" s="27">
        <v>208</v>
      </c>
      <c r="N15" s="27">
        <v>3</v>
      </c>
      <c r="O15" s="27">
        <f t="shared" si="6"/>
        <v>999.9999999999967</v>
      </c>
      <c r="P15" s="27">
        <v>0.30000000000000099</v>
      </c>
      <c r="Q15" s="27">
        <v>1</v>
      </c>
      <c r="R15" s="29" t="s">
        <v>47</v>
      </c>
      <c r="S15" s="27">
        <v>100</v>
      </c>
      <c r="T15" s="27" t="s">
        <v>28</v>
      </c>
      <c r="U15" s="28" t="str">
        <f>voltagedrop(M15,N15,O15,P15,Q15,R15,S15,T15)</f>
        <v>4.54%</v>
      </c>
      <c r="X15" s="27">
        <v>208</v>
      </c>
      <c r="Y15" s="27">
        <v>3</v>
      </c>
      <c r="Z15" s="27">
        <f t="shared" si="7"/>
        <v>749.9999999999975</v>
      </c>
      <c r="AA15" s="27">
        <v>0.30000000000000099</v>
      </c>
      <c r="AB15" s="27">
        <v>1</v>
      </c>
      <c r="AC15" s="29" t="s">
        <v>48</v>
      </c>
      <c r="AD15" s="27">
        <v>100</v>
      </c>
      <c r="AE15" s="27" t="s">
        <v>28</v>
      </c>
      <c r="AF15" s="28" t="str">
        <f>voltagedrop(X15,Y15,Z15,AA15,AB15,AC15,AD15,AE15)</f>
        <v>4.12%</v>
      </c>
      <c r="AI15" s="27">
        <v>208</v>
      </c>
      <c r="AJ15" s="27">
        <v>3</v>
      </c>
      <c r="AK15" s="27">
        <f t="shared" si="8"/>
        <v>333.33333333333223</v>
      </c>
      <c r="AL15" s="27">
        <v>0.30000000000000099</v>
      </c>
      <c r="AM15" s="27">
        <v>1</v>
      </c>
      <c r="AN15" s="29" t="s">
        <v>13</v>
      </c>
      <c r="AO15" s="27">
        <v>100</v>
      </c>
      <c r="AP15" s="27" t="s">
        <v>28</v>
      </c>
      <c r="AQ15" s="28" t="str">
        <f>voltagedrop(AI15,AJ15,AK15,AL15,AM15,AN15,AO15,AP15)</f>
        <v>2.28%</v>
      </c>
      <c r="AT15" s="27">
        <v>208</v>
      </c>
      <c r="AU15" s="27">
        <v>3</v>
      </c>
      <c r="AV15" s="27">
        <f t="shared" si="9"/>
        <v>53.333333333333158</v>
      </c>
      <c r="AW15" s="27">
        <v>0.30000000000000099</v>
      </c>
      <c r="AX15" s="27">
        <v>1</v>
      </c>
      <c r="AY15" s="29" t="s">
        <v>49</v>
      </c>
      <c r="AZ15" s="27">
        <v>100</v>
      </c>
      <c r="BA15" s="27" t="s">
        <v>28</v>
      </c>
      <c r="BB15" s="28" t="str">
        <f>voltagedrop(AT15,AU15,AV15,AW15,AX15,AY15,AZ15,BA15)</f>
        <v>3.16%</v>
      </c>
    </row>
    <row r="16" spans="2:54" x14ac:dyDescent="0.25">
      <c r="B16" s="27">
        <v>208</v>
      </c>
      <c r="C16" s="27">
        <v>3</v>
      </c>
      <c r="D16" s="27">
        <f t="shared" si="5"/>
        <v>1399.9999999999943</v>
      </c>
      <c r="E16" s="27">
        <v>0.250000000000001</v>
      </c>
      <c r="F16" s="27">
        <v>1</v>
      </c>
      <c r="G16" s="29" t="s">
        <v>30</v>
      </c>
      <c r="H16" s="27">
        <v>100</v>
      </c>
      <c r="I16" s="27" t="s">
        <v>28</v>
      </c>
      <c r="J16" s="28" t="str">
        <f>voltagedrop(B16,C16,D16,E16,F16,G16,H16,I16)</f>
        <v>6.15%</v>
      </c>
      <c r="M16" s="27">
        <v>208</v>
      </c>
      <c r="N16" s="27">
        <v>3</v>
      </c>
      <c r="O16" s="27">
        <f t="shared" si="6"/>
        <v>1199.9999999999952</v>
      </c>
      <c r="P16" s="27">
        <v>0.250000000000001</v>
      </c>
      <c r="Q16" s="27">
        <v>1</v>
      </c>
      <c r="R16" s="29" t="s">
        <v>47</v>
      </c>
      <c r="S16" s="27">
        <v>100</v>
      </c>
      <c r="T16" s="27" t="s">
        <v>28</v>
      </c>
      <c r="U16" s="28" t="str">
        <f>voltagedrop(M16,N16,O16,P16,Q16,R16,S16,T16)</f>
        <v>5.38%</v>
      </c>
      <c r="X16" s="27">
        <v>208</v>
      </c>
      <c r="Y16" s="27">
        <v>3</v>
      </c>
      <c r="Z16" s="27">
        <f t="shared" si="7"/>
        <v>899.99999999999636</v>
      </c>
      <c r="AA16" s="27">
        <v>0.250000000000001</v>
      </c>
      <c r="AB16" s="27">
        <v>1</v>
      </c>
      <c r="AC16" s="29" t="s">
        <v>48</v>
      </c>
      <c r="AD16" s="27">
        <v>100</v>
      </c>
      <c r="AE16" s="27" t="s">
        <v>28</v>
      </c>
      <c r="AF16" s="28" t="str">
        <f>voltagedrop(X16,Y16,Z16,AA16,AB16,AC16,AD16,AE16)</f>
        <v>4.81%</v>
      </c>
      <c r="AI16" s="27">
        <v>208</v>
      </c>
      <c r="AJ16" s="27">
        <v>3</v>
      </c>
      <c r="AK16" s="27">
        <f t="shared" si="8"/>
        <v>399.99999999999841</v>
      </c>
      <c r="AL16" s="27">
        <v>0.250000000000001</v>
      </c>
      <c r="AM16" s="27">
        <v>1</v>
      </c>
      <c r="AN16" s="29" t="s">
        <v>13</v>
      </c>
      <c r="AO16" s="27">
        <v>100</v>
      </c>
      <c r="AP16" s="27" t="s">
        <v>28</v>
      </c>
      <c r="AQ16" s="28" t="str">
        <f>voltagedrop(AI16,AJ16,AK16,AL16,AM16,AN16,AO16,AP16)</f>
        <v>2.60%</v>
      </c>
      <c r="AT16" s="27">
        <v>208</v>
      </c>
      <c r="AU16" s="27">
        <v>3</v>
      </c>
      <c r="AV16" s="27">
        <f t="shared" si="9"/>
        <v>63.999999999999744</v>
      </c>
      <c r="AW16" s="27">
        <v>0.250000000000001</v>
      </c>
      <c r="AX16" s="27">
        <v>1</v>
      </c>
      <c r="AY16" s="29" t="s">
        <v>49</v>
      </c>
      <c r="AZ16" s="27">
        <v>100</v>
      </c>
      <c r="BA16" s="27" t="s">
        <v>28</v>
      </c>
      <c r="BB16" s="28" t="str">
        <f>voltagedrop(AT16,AU16,AV16,AW16,AX16,AY16,AZ16,BA16)</f>
        <v>3.32%</v>
      </c>
    </row>
    <row r="17" spans="2:54" x14ac:dyDescent="0.25">
      <c r="B17" s="27">
        <v>208</v>
      </c>
      <c r="C17" s="27">
        <v>3</v>
      </c>
      <c r="D17" s="27">
        <f t="shared" si="5"/>
        <v>1749.9999999999911</v>
      </c>
      <c r="E17" s="27">
        <v>0.20000000000000101</v>
      </c>
      <c r="F17" s="27">
        <v>1</v>
      </c>
      <c r="G17" s="29" t="s">
        <v>30</v>
      </c>
      <c r="H17" s="27">
        <v>100</v>
      </c>
      <c r="I17" s="27" t="s">
        <v>28</v>
      </c>
      <c r="J17" s="28" t="str">
        <f>voltagedrop(B17,C17,D17,E17,F17,G17,H17,I17)</f>
        <v>7.60%</v>
      </c>
      <c r="M17" s="27">
        <v>208</v>
      </c>
      <c r="N17" s="27">
        <v>3</v>
      </c>
      <c r="O17" s="27">
        <f t="shared" si="6"/>
        <v>1499.9999999999925</v>
      </c>
      <c r="P17" s="27">
        <v>0.20000000000000101</v>
      </c>
      <c r="Q17" s="27">
        <v>1</v>
      </c>
      <c r="R17" s="29" t="s">
        <v>47</v>
      </c>
      <c r="S17" s="27">
        <v>100</v>
      </c>
      <c r="T17" s="27" t="s">
        <v>28</v>
      </c>
      <c r="U17" s="28" t="str">
        <f>voltagedrop(M17,N17,O17,P17,Q17,R17,S17,T17)</f>
        <v>6.61%</v>
      </c>
      <c r="X17" s="27">
        <v>208</v>
      </c>
      <c r="Y17" s="27">
        <v>3</v>
      </c>
      <c r="Z17" s="27">
        <f t="shared" si="7"/>
        <v>1124.9999999999943</v>
      </c>
      <c r="AA17" s="27">
        <v>0.20000000000000101</v>
      </c>
      <c r="AB17" s="27">
        <v>1</v>
      </c>
      <c r="AC17" s="29" t="s">
        <v>48</v>
      </c>
      <c r="AD17" s="27">
        <v>100</v>
      </c>
      <c r="AE17" s="27" t="s">
        <v>28</v>
      </c>
      <c r="AF17" s="28" t="str">
        <f>voltagedrop(X17,Y17,Z17,AA17,AB17,AC17,AD17,AE17)</f>
        <v>5.83%</v>
      </c>
      <c r="AI17" s="27">
        <v>208</v>
      </c>
      <c r="AJ17" s="27">
        <v>3</v>
      </c>
      <c r="AK17" s="27">
        <f t="shared" si="8"/>
        <v>499.9999999999975</v>
      </c>
      <c r="AL17" s="27">
        <v>0.20000000000000101</v>
      </c>
      <c r="AM17" s="27">
        <v>1</v>
      </c>
      <c r="AN17" s="29" t="s">
        <v>13</v>
      </c>
      <c r="AO17" s="27">
        <v>100</v>
      </c>
      <c r="AP17" s="27" t="s">
        <v>28</v>
      </c>
      <c r="AQ17" s="28" t="str">
        <f>voltagedrop(AI17,AJ17,AK17,AL17,AM17,AN17,AO17,AP17)</f>
        <v>3.07%</v>
      </c>
      <c r="AT17" s="27">
        <v>208</v>
      </c>
      <c r="AU17" s="27">
        <v>3</v>
      </c>
      <c r="AV17" s="27">
        <f t="shared" si="9"/>
        <v>79.999999999999602</v>
      </c>
      <c r="AW17" s="27">
        <v>0.20000000000000101</v>
      </c>
      <c r="AX17" s="27">
        <v>1</v>
      </c>
      <c r="AY17" s="29" t="s">
        <v>49</v>
      </c>
      <c r="AZ17" s="27">
        <v>100</v>
      </c>
      <c r="BA17" s="27" t="s">
        <v>28</v>
      </c>
      <c r="BB17" s="28" t="str">
        <f>voltagedrop(AT17,AU17,AV17,AW17,AX17,AY17,AZ17,BA17)</f>
        <v>3.59%</v>
      </c>
    </row>
    <row r="18" spans="2:54" x14ac:dyDescent="0.25">
      <c r="B18" s="27">
        <v>208</v>
      </c>
      <c r="C18" s="27">
        <v>3</v>
      </c>
      <c r="D18" s="27">
        <f t="shared" si="5"/>
        <v>2333.333333333318</v>
      </c>
      <c r="E18" s="27">
        <v>0.15000000000000099</v>
      </c>
      <c r="F18" s="27">
        <v>1</v>
      </c>
      <c r="G18" s="29" t="s">
        <v>30</v>
      </c>
      <c r="H18" s="27">
        <v>100</v>
      </c>
      <c r="I18" s="27" t="s">
        <v>28</v>
      </c>
      <c r="J18" s="28" t="str">
        <f t="shared" si="0"/>
        <v>9.98%</v>
      </c>
      <c r="M18" s="27">
        <v>208</v>
      </c>
      <c r="N18" s="27">
        <v>3</v>
      </c>
      <c r="O18" s="27">
        <f t="shared" si="6"/>
        <v>1999.9999999999868</v>
      </c>
      <c r="P18" s="27">
        <v>0.15000000000000099</v>
      </c>
      <c r="Q18" s="27">
        <v>1</v>
      </c>
      <c r="R18" s="29" t="s">
        <v>47</v>
      </c>
      <c r="S18" s="27">
        <v>100</v>
      </c>
      <c r="T18" s="27" t="s">
        <v>28</v>
      </c>
      <c r="U18" s="28" t="str">
        <f t="shared" ref="U18:U19" si="10">voltagedrop(M18,N18,O18,P18,Q18,R18,S18,T18)</f>
        <v>8.67%</v>
      </c>
      <c r="X18" s="27">
        <v>208</v>
      </c>
      <c r="Y18" s="27">
        <v>3</v>
      </c>
      <c r="Z18" s="27">
        <f t="shared" si="7"/>
        <v>1499.99999999999</v>
      </c>
      <c r="AA18" s="27">
        <v>0.15000000000000099</v>
      </c>
      <c r="AB18" s="27">
        <v>1</v>
      </c>
      <c r="AC18" s="29" t="s">
        <v>48</v>
      </c>
      <c r="AD18" s="27">
        <v>100</v>
      </c>
      <c r="AE18" s="27" t="s">
        <v>28</v>
      </c>
      <c r="AF18" s="28" t="str">
        <f t="shared" ref="AF18:AF19" si="11">voltagedrop(X18,Y18,Z18,AA18,AB18,AC18,AD18,AE18)</f>
        <v>7.53%</v>
      </c>
      <c r="AI18" s="27">
        <v>208</v>
      </c>
      <c r="AJ18" s="27">
        <v>3</v>
      </c>
      <c r="AK18" s="27">
        <f t="shared" si="8"/>
        <v>666.66666666666219</v>
      </c>
      <c r="AL18" s="27">
        <v>0.15000000000000099</v>
      </c>
      <c r="AM18" s="27">
        <v>1</v>
      </c>
      <c r="AN18" s="29" t="s">
        <v>13</v>
      </c>
      <c r="AO18" s="27">
        <v>100</v>
      </c>
      <c r="AP18" s="27" t="s">
        <v>28</v>
      </c>
      <c r="AQ18" s="28" t="str">
        <f t="shared" ref="AQ18:AQ19" si="12">voltagedrop(AI18,AJ18,AK18,AL18,AM18,AN18,AO18,AP18)</f>
        <v>3.87%</v>
      </c>
      <c r="AT18" s="27">
        <v>208</v>
      </c>
      <c r="AU18" s="27">
        <v>3</v>
      </c>
      <c r="AV18" s="27">
        <f t="shared" si="9"/>
        <v>106.66666666666596</v>
      </c>
      <c r="AW18" s="27">
        <v>0.15000000000000099</v>
      </c>
      <c r="AX18" s="27">
        <v>1</v>
      </c>
      <c r="AY18" s="29" t="s">
        <v>49</v>
      </c>
      <c r="AZ18" s="27">
        <v>100</v>
      </c>
      <c r="BA18" s="27" t="s">
        <v>28</v>
      </c>
      <c r="BB18" s="28" t="str">
        <f t="shared" ref="BB18:BB19" si="13">voltagedrop(AT18,AU18,AV18,AW18,AX18,AY18,AZ18,BA18)</f>
        <v>4.15%</v>
      </c>
    </row>
    <row r="19" spans="2:54" x14ac:dyDescent="0.25">
      <c r="B19" s="27">
        <v>208</v>
      </c>
      <c r="C19" s="27">
        <v>3</v>
      </c>
      <c r="D19" s="27">
        <f t="shared" si="5"/>
        <v>3499.999999999965</v>
      </c>
      <c r="E19" s="27">
        <v>0.100000000000001</v>
      </c>
      <c r="F19" s="27">
        <v>1</v>
      </c>
      <c r="G19" s="29" t="s">
        <v>30</v>
      </c>
      <c r="H19" s="27">
        <v>100</v>
      </c>
      <c r="I19" s="27" t="s">
        <v>28</v>
      </c>
      <c r="J19" s="28" t="str">
        <f t="shared" si="0"/>
        <v>14.75%</v>
      </c>
      <c r="M19" s="27">
        <v>208</v>
      </c>
      <c r="N19" s="27">
        <v>3</v>
      </c>
      <c r="O19" s="27">
        <f t="shared" si="6"/>
        <v>2999.99999999997</v>
      </c>
      <c r="P19" s="27">
        <v>0.100000000000001</v>
      </c>
      <c r="Q19" s="27">
        <v>1</v>
      </c>
      <c r="R19" s="29" t="s">
        <v>47</v>
      </c>
      <c r="S19" s="27">
        <v>100</v>
      </c>
      <c r="T19" s="27" t="s">
        <v>28</v>
      </c>
      <c r="U19" s="28" t="str">
        <f t="shared" si="10"/>
        <v>12.76%</v>
      </c>
      <c r="X19" s="27">
        <v>208</v>
      </c>
      <c r="Y19" s="27">
        <v>3</v>
      </c>
      <c r="Z19" s="27">
        <f t="shared" si="7"/>
        <v>2249.9999999999773</v>
      </c>
      <c r="AA19" s="27">
        <v>0.100000000000001</v>
      </c>
      <c r="AB19" s="27">
        <v>1</v>
      </c>
      <c r="AC19" s="29" t="s">
        <v>48</v>
      </c>
      <c r="AD19" s="27">
        <v>100</v>
      </c>
      <c r="AE19" s="27" t="s">
        <v>28</v>
      </c>
      <c r="AF19" s="28" t="str">
        <f t="shared" si="11"/>
        <v>10.94%</v>
      </c>
      <c r="AI19" s="27">
        <v>208</v>
      </c>
      <c r="AJ19" s="27">
        <v>3</v>
      </c>
      <c r="AK19" s="27">
        <f t="shared" si="8"/>
        <v>999.99999999999</v>
      </c>
      <c r="AL19" s="27">
        <v>0.100000000000001</v>
      </c>
      <c r="AM19" s="27">
        <v>1</v>
      </c>
      <c r="AN19" s="29" t="s">
        <v>13</v>
      </c>
      <c r="AO19" s="27">
        <v>100</v>
      </c>
      <c r="AP19" s="27" t="s">
        <v>28</v>
      </c>
      <c r="AQ19" s="28" t="str">
        <f t="shared" si="12"/>
        <v>5.48%</v>
      </c>
      <c r="AT19" s="27">
        <v>208</v>
      </c>
      <c r="AU19" s="27">
        <v>3</v>
      </c>
      <c r="AV19" s="27">
        <f t="shared" si="9"/>
        <v>159.99999999999838</v>
      </c>
      <c r="AW19" s="27">
        <v>0.100000000000001</v>
      </c>
      <c r="AX19" s="27">
        <v>1</v>
      </c>
      <c r="AY19" s="29" t="s">
        <v>49</v>
      </c>
      <c r="AZ19" s="27">
        <v>100</v>
      </c>
      <c r="BA19" s="27" t="s">
        <v>28</v>
      </c>
      <c r="BB19" s="28" t="str">
        <f t="shared" si="13"/>
        <v>5.59%</v>
      </c>
    </row>
    <row r="20" spans="2:54" x14ac:dyDescent="0.25">
      <c r="B20" s="27"/>
      <c r="C20" s="27"/>
      <c r="D20" s="27"/>
    </row>
    <row r="21" spans="2:54" x14ac:dyDescent="0.25">
      <c r="B21" s="27"/>
      <c r="C21" s="27"/>
      <c r="D21" s="27"/>
    </row>
    <row r="24" spans="2:54" x14ac:dyDescent="0.25">
      <c r="C24" t="s">
        <v>23</v>
      </c>
      <c r="D24" t="s">
        <v>25</v>
      </c>
      <c r="P24" s="27" t="s">
        <v>23</v>
      </c>
      <c r="Q24" t="s">
        <v>25</v>
      </c>
      <c r="AA24" s="27" t="s">
        <v>23</v>
      </c>
      <c r="AB24" t="s">
        <v>25</v>
      </c>
      <c r="AL24" s="27" t="s">
        <v>23</v>
      </c>
      <c r="AM24" t="s">
        <v>25</v>
      </c>
      <c r="AV24" s="27" t="s">
        <v>23</v>
      </c>
      <c r="AW24" t="s">
        <v>25</v>
      </c>
    </row>
    <row r="25" spans="2:54" x14ac:dyDescent="0.25">
      <c r="C25">
        <v>0.95</v>
      </c>
      <c r="D25" s="42">
        <v>1.1299999999999999E-2</v>
      </c>
      <c r="P25" s="27">
        <v>0.95</v>
      </c>
      <c r="Q25" s="42">
        <v>1.0699999999999999E-2</v>
      </c>
      <c r="AA25" s="27">
        <v>0.95</v>
      </c>
      <c r="AB25" s="42">
        <v>1.2699999999999999E-2</v>
      </c>
      <c r="AL25" s="27">
        <v>0.95</v>
      </c>
      <c r="AM25" s="42">
        <v>9.2999999999999992E-3</v>
      </c>
      <c r="AV25" s="27">
        <v>0.95</v>
      </c>
      <c r="AW25" s="42">
        <v>2.5600000000000001E-2</v>
      </c>
    </row>
    <row r="26" spans="2:54" x14ac:dyDescent="0.25">
      <c r="C26">
        <v>0.9</v>
      </c>
      <c r="D26" s="42">
        <v>1.41E-2</v>
      </c>
      <c r="P26" s="27">
        <v>0.9</v>
      </c>
      <c r="Q26" s="42">
        <v>1.3100000000000001E-2</v>
      </c>
      <c r="AA26" s="27">
        <v>0.9</v>
      </c>
      <c r="AB26" s="42">
        <v>1.4800000000000001E-2</v>
      </c>
      <c r="AL26" s="27">
        <v>0.9</v>
      </c>
      <c r="AM26" s="42">
        <v>1.0500000000000001E-2</v>
      </c>
      <c r="AV26" s="27">
        <v>0.9</v>
      </c>
      <c r="AW26" s="42">
        <v>2.7099999999999999E-2</v>
      </c>
    </row>
    <row r="27" spans="2:54" x14ac:dyDescent="0.25">
      <c r="C27">
        <v>0.85</v>
      </c>
      <c r="D27" s="42">
        <v>1.6E-2</v>
      </c>
      <c r="P27" s="27">
        <v>0.85</v>
      </c>
      <c r="Q27" s="42">
        <v>1.47E-2</v>
      </c>
      <c r="AA27" s="27">
        <v>0.85</v>
      </c>
      <c r="AB27" s="42">
        <v>1.6199999999999999E-2</v>
      </c>
      <c r="AL27" s="27">
        <v>0.85</v>
      </c>
      <c r="AM27" s="42">
        <v>1.11E-2</v>
      </c>
      <c r="AV27" s="27">
        <v>0.85</v>
      </c>
      <c r="AW27" s="42">
        <v>2.7300000000000001E-2</v>
      </c>
    </row>
    <row r="28" spans="2:54" x14ac:dyDescent="0.25">
      <c r="C28">
        <v>0.8</v>
      </c>
      <c r="D28" s="42">
        <v>1.78E-2</v>
      </c>
      <c r="P28" s="27">
        <v>0.8</v>
      </c>
      <c r="Q28" s="42">
        <v>1.6299999999999999E-2</v>
      </c>
      <c r="AA28" s="27">
        <v>0.8</v>
      </c>
      <c r="AB28" s="42">
        <v>1.7399999999999999E-2</v>
      </c>
      <c r="AL28" s="27">
        <v>0.8</v>
      </c>
      <c r="AM28" s="42">
        <v>1.17E-2</v>
      </c>
      <c r="AV28" s="27">
        <v>0.8</v>
      </c>
      <c r="AW28" s="42">
        <v>2.7400000000000001E-2</v>
      </c>
    </row>
    <row r="29" spans="2:54" x14ac:dyDescent="0.25">
      <c r="C29">
        <v>0.75</v>
      </c>
      <c r="D29" s="42">
        <v>1.9599999999999999E-2</v>
      </c>
      <c r="P29" s="27">
        <v>0.75</v>
      </c>
      <c r="Q29" s="42">
        <v>1.78E-2</v>
      </c>
      <c r="AA29" s="27">
        <v>0.75</v>
      </c>
      <c r="AB29" s="42">
        <v>1.8700000000000001E-2</v>
      </c>
      <c r="AL29" s="27">
        <v>0.75</v>
      </c>
      <c r="AM29" s="42">
        <v>1.23E-2</v>
      </c>
      <c r="AV29" s="27">
        <v>0.75</v>
      </c>
      <c r="AW29" s="42">
        <v>2.76E-2</v>
      </c>
    </row>
    <row r="30" spans="2:54" x14ac:dyDescent="0.25">
      <c r="C30">
        <v>0.7</v>
      </c>
      <c r="D30" s="42">
        <v>2.1600000000000001E-2</v>
      </c>
      <c r="P30" s="27">
        <v>0.7</v>
      </c>
      <c r="Q30" s="42">
        <v>1.95E-2</v>
      </c>
      <c r="AA30" s="27">
        <v>0.7</v>
      </c>
      <c r="AB30" s="42">
        <v>2.01E-2</v>
      </c>
      <c r="AL30" s="27">
        <v>0.7</v>
      </c>
      <c r="AM30" s="42">
        <v>1.29E-2</v>
      </c>
      <c r="AV30" s="27">
        <v>0.7</v>
      </c>
      <c r="AW30" s="42">
        <v>2.7799999999999998E-2</v>
      </c>
    </row>
    <row r="31" spans="2:54" x14ac:dyDescent="0.25">
      <c r="C31">
        <v>0.65</v>
      </c>
      <c r="D31" s="42">
        <v>2.3699999999999999E-2</v>
      </c>
      <c r="P31" s="27">
        <v>0.65</v>
      </c>
      <c r="Q31" s="42">
        <v>2.1299999999999999E-2</v>
      </c>
      <c r="AA31" s="27">
        <v>0.65</v>
      </c>
      <c r="AB31" s="42">
        <v>2.1499999999999998E-2</v>
      </c>
      <c r="AL31" s="27">
        <v>0.65</v>
      </c>
      <c r="AM31" s="42">
        <v>1.3599999999999999E-2</v>
      </c>
      <c r="AV31" s="27">
        <v>0.65</v>
      </c>
      <c r="AW31" s="42">
        <v>2.8000000000000001E-2</v>
      </c>
    </row>
    <row r="32" spans="2:54" x14ac:dyDescent="0.25">
      <c r="C32">
        <v>0.6</v>
      </c>
      <c r="D32" s="42">
        <v>2.5899999999999999E-2</v>
      </c>
      <c r="P32" s="27">
        <v>0.6</v>
      </c>
      <c r="Q32" s="42">
        <v>2.3199999999999998E-2</v>
      </c>
      <c r="AA32" s="27">
        <v>0.6</v>
      </c>
      <c r="AB32" s="42">
        <v>2.3099999999999999E-2</v>
      </c>
      <c r="AL32" s="27">
        <v>0.6</v>
      </c>
      <c r="AM32" s="42">
        <v>1.43E-2</v>
      </c>
      <c r="AV32" s="27">
        <v>0.6</v>
      </c>
      <c r="AW32" s="42">
        <v>2.8199999999999999E-2</v>
      </c>
    </row>
    <row r="33" spans="3:49" x14ac:dyDescent="0.25">
      <c r="C33">
        <v>0.55000000000000104</v>
      </c>
      <c r="D33" s="42">
        <v>2.8500000000000001E-2</v>
      </c>
      <c r="P33" s="27">
        <v>0.55000000000000104</v>
      </c>
      <c r="Q33" s="42">
        <v>2.5499999999999998E-2</v>
      </c>
      <c r="AA33" s="27">
        <v>0.55000000000000104</v>
      </c>
      <c r="AB33" s="42">
        <v>2.4899999999999999E-2</v>
      </c>
      <c r="AL33" s="27">
        <v>0.55000000000000104</v>
      </c>
      <c r="AM33" s="42">
        <v>1.52E-2</v>
      </c>
      <c r="AV33" s="27">
        <v>0.55000000000000104</v>
      </c>
      <c r="AW33" s="42">
        <v>2.8500000000000001E-2</v>
      </c>
    </row>
    <row r="34" spans="3:49" x14ac:dyDescent="0.25">
      <c r="C34">
        <v>0.500000000000001</v>
      </c>
      <c r="D34" s="42">
        <v>3.15E-2</v>
      </c>
      <c r="P34" s="27">
        <v>0.500000000000001</v>
      </c>
      <c r="Q34" s="42">
        <v>2.8000000000000001E-2</v>
      </c>
      <c r="AA34" s="27">
        <v>0.500000000000001</v>
      </c>
      <c r="AB34" s="42">
        <v>2.7E-2</v>
      </c>
      <c r="AL34" s="27">
        <v>0.500000000000001</v>
      </c>
      <c r="AM34" s="42">
        <v>1.61E-2</v>
      </c>
      <c r="AV34" s="27">
        <v>0.500000000000001</v>
      </c>
      <c r="AW34" s="42">
        <v>2.8799999999999999E-2</v>
      </c>
    </row>
    <row r="35" spans="3:49" x14ac:dyDescent="0.25">
      <c r="C35">
        <v>0.45000000000000101</v>
      </c>
      <c r="D35" s="42">
        <v>3.5000000000000003E-2</v>
      </c>
      <c r="P35" s="27">
        <v>0.45000000000000101</v>
      </c>
      <c r="Q35" s="42">
        <v>3.1E-2</v>
      </c>
      <c r="AA35" s="27">
        <v>0.45000000000000101</v>
      </c>
      <c r="AB35" s="42">
        <v>2.9499999999999998E-2</v>
      </c>
      <c r="AL35" s="27">
        <v>0.45000000000000101</v>
      </c>
      <c r="AM35" s="42">
        <v>1.7299999999999999E-2</v>
      </c>
      <c r="AV35" s="27">
        <v>0.45000000000000101</v>
      </c>
      <c r="AW35" s="42">
        <v>2.92E-2</v>
      </c>
    </row>
    <row r="36" spans="3:49" x14ac:dyDescent="0.25">
      <c r="C36">
        <v>0.40000000000000102</v>
      </c>
      <c r="D36" s="42">
        <v>3.9300000000000002E-2</v>
      </c>
      <c r="P36" s="27">
        <v>0.40000000000000102</v>
      </c>
      <c r="Q36" s="42">
        <v>3.4700000000000002E-2</v>
      </c>
      <c r="AA36" s="27">
        <v>0.40000000000000102</v>
      </c>
      <c r="AB36" s="42">
        <v>3.2500000000000001E-2</v>
      </c>
      <c r="AL36" s="27">
        <v>0.40000000000000102</v>
      </c>
      <c r="AM36" s="42">
        <v>1.8700000000000001E-2</v>
      </c>
      <c r="AV36" s="27">
        <v>0.40000000000000102</v>
      </c>
      <c r="AW36" s="42">
        <v>2.98E-2</v>
      </c>
    </row>
    <row r="37" spans="3:49" x14ac:dyDescent="0.25">
      <c r="C37">
        <v>0.35000000000000098</v>
      </c>
      <c r="D37" s="42">
        <v>4.4699999999999997E-2</v>
      </c>
      <c r="P37" s="27">
        <v>0.35000000000000098</v>
      </c>
      <c r="Q37" s="42">
        <v>3.9399999999999998E-2</v>
      </c>
      <c r="AA37" s="27">
        <v>0.35000000000000098</v>
      </c>
      <c r="AB37" s="42">
        <v>3.6299999999999999E-2</v>
      </c>
      <c r="AL37" s="27">
        <v>0.35000000000000098</v>
      </c>
      <c r="AM37" s="42">
        <v>2.0500000000000001E-2</v>
      </c>
      <c r="AV37" s="27">
        <v>0.35000000000000098</v>
      </c>
      <c r="AW37" s="42">
        <v>3.0499999999999999E-2</v>
      </c>
    </row>
    <row r="38" spans="3:49" x14ac:dyDescent="0.25">
      <c r="C38">
        <v>0.30000000000000099</v>
      </c>
      <c r="D38" s="42">
        <v>5.1799999999999999E-2</v>
      </c>
      <c r="P38" s="27">
        <v>0.30000000000000099</v>
      </c>
      <c r="Q38" s="42">
        <v>4.5400000000000003E-2</v>
      </c>
      <c r="AA38" s="27">
        <v>0.30000000000000099</v>
      </c>
      <c r="AB38" s="42">
        <v>4.1200000000000001E-2</v>
      </c>
      <c r="AL38" s="27">
        <v>0.30000000000000099</v>
      </c>
      <c r="AM38" s="42">
        <v>2.2800000000000001E-2</v>
      </c>
      <c r="AV38" s="27">
        <v>0.30000000000000099</v>
      </c>
      <c r="AW38" s="42">
        <v>3.1600000000000003E-2</v>
      </c>
    </row>
    <row r="39" spans="3:49" x14ac:dyDescent="0.25">
      <c r="C39">
        <v>0.250000000000001</v>
      </c>
      <c r="D39" s="42">
        <v>6.1499999999999999E-2</v>
      </c>
      <c r="P39" s="27">
        <v>0.250000000000001</v>
      </c>
      <c r="Q39" s="42">
        <v>5.3800000000000001E-2</v>
      </c>
      <c r="AA39" s="27">
        <v>0.250000000000001</v>
      </c>
      <c r="AB39" s="42">
        <v>4.8099999999999997E-2</v>
      </c>
      <c r="AL39" s="27">
        <v>0.250000000000001</v>
      </c>
      <c r="AM39" s="42">
        <v>2.5999999999999999E-2</v>
      </c>
      <c r="AV39" s="27">
        <v>0.250000000000001</v>
      </c>
      <c r="AW39" s="42">
        <v>3.32E-2</v>
      </c>
    </row>
    <row r="40" spans="3:49" x14ac:dyDescent="0.25">
      <c r="C40">
        <v>0.20000000000000101</v>
      </c>
      <c r="D40" s="42">
        <v>7.5999999999999998E-2</v>
      </c>
      <c r="P40" s="27">
        <v>0.20000000000000101</v>
      </c>
      <c r="Q40" s="42">
        <v>6.6100000000000006E-2</v>
      </c>
      <c r="AA40" s="27">
        <v>0.20000000000000101</v>
      </c>
      <c r="AB40" s="42">
        <v>5.8299999999999998E-2</v>
      </c>
      <c r="AL40" s="27">
        <v>0.20000000000000101</v>
      </c>
      <c r="AM40" s="42">
        <v>3.0700000000000002E-2</v>
      </c>
      <c r="AV40" s="27">
        <v>0.20000000000000101</v>
      </c>
      <c r="AW40" s="42">
        <v>3.5900000000000001E-2</v>
      </c>
    </row>
    <row r="41" spans="3:49" x14ac:dyDescent="0.25">
      <c r="C41">
        <v>0.15000000000000099</v>
      </c>
      <c r="D41" s="42">
        <v>9.98E-2</v>
      </c>
      <c r="P41" s="27">
        <v>0.15000000000000099</v>
      </c>
      <c r="Q41" s="42">
        <v>8.6699999999999999E-2</v>
      </c>
      <c r="AA41" s="27">
        <v>0.15000000000000099</v>
      </c>
      <c r="AB41" s="42">
        <v>7.5300000000000006E-2</v>
      </c>
      <c r="AL41" s="27">
        <v>0.15000000000000099</v>
      </c>
      <c r="AM41" s="42">
        <v>3.8699999999999998E-2</v>
      </c>
      <c r="AV41" s="27">
        <v>0.15000000000000099</v>
      </c>
      <c r="AW41" s="42">
        <v>4.1500000000000002E-2</v>
      </c>
    </row>
    <row r="42" spans="3:49" x14ac:dyDescent="0.25">
      <c r="C42">
        <v>0.100000000000001</v>
      </c>
      <c r="D42" s="42">
        <v>0.14749999999999999</v>
      </c>
      <c r="P42" s="27">
        <v>0.100000000000001</v>
      </c>
      <c r="Q42" s="42">
        <v>0.12759999999999999</v>
      </c>
      <c r="AA42" s="27">
        <v>0.100000000000001</v>
      </c>
      <c r="AB42" s="42">
        <v>0.1094</v>
      </c>
      <c r="AL42" s="27">
        <v>0.100000000000001</v>
      </c>
      <c r="AM42" s="42">
        <v>5.4800000000000001E-2</v>
      </c>
      <c r="AV42" s="27">
        <v>0.100000000000001</v>
      </c>
      <c r="AW42" s="42">
        <v>5.5899999999999998E-2</v>
      </c>
    </row>
    <row r="43" spans="3:49" x14ac:dyDescent="0.25">
      <c r="Q43" s="3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Sheet</vt:lpstr>
      <vt:lpstr>Voltage Drops</vt:lpstr>
    </vt:vector>
  </TitlesOfParts>
  <Company>Tetra Tech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Rosser, Dylan</dc:creator>
  <cp:lastModifiedBy>Rosser, Dylan</cp:lastModifiedBy>
  <cp:lastPrinted>2018-08-03T15:52:11Z</cp:lastPrinted>
  <dcterms:created xsi:type="dcterms:W3CDTF">2017-11-29T21:46:46Z</dcterms:created>
  <dcterms:modified xsi:type="dcterms:W3CDTF">2018-12-31T15:31:09Z</dcterms:modified>
</cp:coreProperties>
</file>